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business-production-analyst\data\raw\"/>
    </mc:Choice>
  </mc:AlternateContent>
  <xr:revisionPtr revIDLastSave="0" documentId="13_ncr:1_{E94C1CAE-1BFB-44CD-AEB6-14A6B8A7FEC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roduction_orders" sheetId="1" r:id="rId1"/>
    <sheet name="production_stages" sheetId="2" r:id="rId2"/>
    <sheet name="machines" sheetId="3" r:id="rId3"/>
    <sheet name="operators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2" l="1"/>
  <c r="F121" i="2" s="1"/>
  <c r="G121" i="2" s="1"/>
  <c r="E120" i="2"/>
  <c r="F120" i="2" s="1"/>
  <c r="G120" i="2" s="1"/>
  <c r="E119" i="2"/>
  <c r="F119" i="2" s="1"/>
  <c r="G119" i="2" s="1"/>
  <c r="E118" i="2"/>
  <c r="F118" i="2" s="1"/>
  <c r="G118" i="2" s="1"/>
  <c r="E117" i="2"/>
  <c r="F117" i="2" s="1"/>
  <c r="G117" i="2" s="1"/>
  <c r="E116" i="2"/>
  <c r="F116" i="2" s="1"/>
  <c r="G116" i="2" s="1"/>
  <c r="E115" i="2"/>
  <c r="F115" i="2" s="1"/>
  <c r="G115" i="2" s="1"/>
  <c r="E114" i="2"/>
  <c r="F114" i="2" s="1"/>
  <c r="G114" i="2" s="1"/>
  <c r="E113" i="2"/>
  <c r="F113" i="2" s="1"/>
  <c r="G113" i="2" s="1"/>
  <c r="E112" i="2"/>
  <c r="F112" i="2" s="1"/>
  <c r="G112" i="2" s="1"/>
  <c r="E111" i="2"/>
  <c r="F111" i="2" s="1"/>
  <c r="G111" i="2" s="1"/>
  <c r="E110" i="2"/>
  <c r="F110" i="2" s="1"/>
  <c r="G110" i="2" s="1"/>
  <c r="E109" i="2"/>
  <c r="F109" i="2" s="1"/>
  <c r="G109" i="2" s="1"/>
  <c r="E108" i="2"/>
  <c r="F108" i="2" s="1"/>
  <c r="G108" i="2" s="1"/>
  <c r="E107" i="2"/>
  <c r="F107" i="2" s="1"/>
  <c r="G107" i="2" s="1"/>
  <c r="E106" i="2"/>
  <c r="F106" i="2" s="1"/>
  <c r="G106" i="2" s="1"/>
  <c r="E105" i="2"/>
  <c r="F105" i="2" s="1"/>
  <c r="G105" i="2" s="1"/>
  <c r="E104" i="2"/>
  <c r="F104" i="2" s="1"/>
  <c r="G104" i="2" s="1"/>
  <c r="E103" i="2"/>
  <c r="F103" i="2" s="1"/>
  <c r="G103" i="2" s="1"/>
  <c r="E102" i="2"/>
  <c r="F102" i="2" s="1"/>
  <c r="G102" i="2" s="1"/>
  <c r="E101" i="2"/>
  <c r="F101" i="2" s="1"/>
  <c r="G101" i="2" s="1"/>
  <c r="E100" i="2"/>
  <c r="F100" i="2" s="1"/>
  <c r="G100" i="2" s="1"/>
  <c r="E99" i="2"/>
  <c r="F99" i="2" s="1"/>
  <c r="G99" i="2" s="1"/>
  <c r="E98" i="2"/>
  <c r="F98" i="2" s="1"/>
  <c r="G98" i="2" s="1"/>
  <c r="E97" i="2"/>
  <c r="F97" i="2" s="1"/>
  <c r="G97" i="2" s="1"/>
  <c r="E96" i="2"/>
  <c r="F96" i="2" s="1"/>
  <c r="G96" i="2" s="1"/>
  <c r="E95" i="2"/>
  <c r="F95" i="2" s="1"/>
  <c r="G95" i="2" s="1"/>
  <c r="E94" i="2"/>
  <c r="F94" i="2" s="1"/>
  <c r="G94" i="2" s="1"/>
  <c r="E93" i="2"/>
  <c r="F93" i="2" s="1"/>
  <c r="G93" i="2" s="1"/>
  <c r="E92" i="2"/>
  <c r="F92" i="2" s="1"/>
  <c r="G92" i="2" s="1"/>
  <c r="E91" i="2"/>
  <c r="F91" i="2" s="1"/>
  <c r="G91" i="2" s="1"/>
  <c r="E90" i="2"/>
  <c r="F90" i="2" s="1"/>
  <c r="G90" i="2" s="1"/>
  <c r="E89" i="2"/>
  <c r="F89" i="2" s="1"/>
  <c r="G89" i="2" s="1"/>
  <c r="E88" i="2"/>
  <c r="F88" i="2" s="1"/>
  <c r="G88" i="2" s="1"/>
  <c r="E87" i="2"/>
  <c r="F87" i="2" s="1"/>
  <c r="G87" i="2" s="1"/>
  <c r="E86" i="2"/>
  <c r="F86" i="2" s="1"/>
  <c r="G86" i="2" s="1"/>
  <c r="E85" i="2"/>
  <c r="F85" i="2" s="1"/>
  <c r="G85" i="2" s="1"/>
  <c r="E84" i="2"/>
  <c r="F84" i="2" s="1"/>
  <c r="G84" i="2" s="1"/>
  <c r="E83" i="2"/>
  <c r="F83" i="2" s="1"/>
  <c r="G83" i="2" s="1"/>
  <c r="E82" i="2"/>
  <c r="F82" i="2" s="1"/>
  <c r="G82" i="2" s="1"/>
  <c r="E81" i="2"/>
  <c r="F81" i="2" s="1"/>
  <c r="G81" i="2" s="1"/>
  <c r="E80" i="2"/>
  <c r="F80" i="2" s="1"/>
  <c r="G80" i="2" s="1"/>
  <c r="E79" i="2"/>
  <c r="F79" i="2" s="1"/>
  <c r="G79" i="2" s="1"/>
  <c r="E78" i="2"/>
  <c r="F78" i="2" s="1"/>
  <c r="G78" i="2" s="1"/>
  <c r="E77" i="2"/>
  <c r="F77" i="2" s="1"/>
  <c r="G77" i="2" s="1"/>
  <c r="E76" i="2"/>
  <c r="F76" i="2" s="1"/>
  <c r="G76" i="2" s="1"/>
  <c r="E75" i="2"/>
  <c r="F75" i="2" s="1"/>
  <c r="G75" i="2" s="1"/>
  <c r="E74" i="2"/>
  <c r="F74" i="2" s="1"/>
  <c r="G74" i="2" s="1"/>
  <c r="E73" i="2"/>
  <c r="F73" i="2" s="1"/>
  <c r="G73" i="2" s="1"/>
  <c r="E72" i="2"/>
  <c r="F72" i="2" s="1"/>
  <c r="G72" i="2" s="1"/>
  <c r="E71" i="2"/>
  <c r="F71" i="2" s="1"/>
  <c r="G71" i="2" s="1"/>
  <c r="E70" i="2"/>
  <c r="F70" i="2" s="1"/>
  <c r="G70" i="2" s="1"/>
  <c r="E69" i="2"/>
  <c r="F69" i="2" s="1"/>
  <c r="G69" i="2" s="1"/>
  <c r="E68" i="2"/>
  <c r="F68" i="2" s="1"/>
  <c r="G68" i="2" s="1"/>
  <c r="E67" i="2"/>
  <c r="F67" i="2" s="1"/>
  <c r="G67" i="2" s="1"/>
  <c r="E66" i="2"/>
  <c r="F66" i="2" s="1"/>
  <c r="G66" i="2" s="1"/>
  <c r="E65" i="2"/>
  <c r="F65" i="2" s="1"/>
  <c r="G65" i="2" s="1"/>
  <c r="E64" i="2"/>
  <c r="F64" i="2" s="1"/>
  <c r="G64" i="2" s="1"/>
  <c r="E63" i="2"/>
  <c r="F63" i="2" s="1"/>
  <c r="G63" i="2" s="1"/>
  <c r="E62" i="2"/>
  <c r="F62" i="2" s="1"/>
  <c r="G62" i="2" s="1"/>
  <c r="E61" i="2"/>
  <c r="F61" i="2" s="1"/>
  <c r="G61" i="2" s="1"/>
  <c r="E60" i="2"/>
  <c r="F60" i="2" s="1"/>
  <c r="G60" i="2" s="1"/>
  <c r="E59" i="2"/>
  <c r="F59" i="2" s="1"/>
  <c r="G59" i="2" s="1"/>
  <c r="E58" i="2"/>
  <c r="F58" i="2" s="1"/>
  <c r="G58" i="2" s="1"/>
  <c r="E57" i="2"/>
  <c r="F57" i="2" s="1"/>
  <c r="G57" i="2" s="1"/>
  <c r="E56" i="2"/>
  <c r="F56" i="2" s="1"/>
  <c r="G56" i="2" s="1"/>
  <c r="E55" i="2"/>
  <c r="F55" i="2" s="1"/>
  <c r="G55" i="2" s="1"/>
  <c r="E54" i="2"/>
  <c r="F54" i="2" s="1"/>
  <c r="G54" i="2" s="1"/>
  <c r="E53" i="2"/>
  <c r="F53" i="2" s="1"/>
  <c r="G53" i="2" s="1"/>
  <c r="E52" i="2"/>
  <c r="F52" i="2" s="1"/>
  <c r="G52" i="2" s="1"/>
  <c r="E51" i="2"/>
  <c r="F51" i="2" s="1"/>
  <c r="G51" i="2" s="1"/>
  <c r="E50" i="2"/>
  <c r="F50" i="2" s="1"/>
  <c r="G50" i="2" s="1"/>
  <c r="E49" i="2"/>
  <c r="F49" i="2" s="1"/>
  <c r="G49" i="2" s="1"/>
  <c r="E48" i="2"/>
  <c r="F48" i="2" s="1"/>
  <c r="G48" i="2" s="1"/>
  <c r="E47" i="2"/>
  <c r="F47" i="2" s="1"/>
  <c r="G47" i="2" s="1"/>
  <c r="E46" i="2"/>
  <c r="F46" i="2" s="1"/>
  <c r="G46" i="2" s="1"/>
  <c r="E45" i="2"/>
  <c r="F45" i="2" s="1"/>
  <c r="G45" i="2" s="1"/>
  <c r="E44" i="2"/>
  <c r="F44" i="2" s="1"/>
  <c r="G44" i="2" s="1"/>
  <c r="E43" i="2"/>
  <c r="F43" i="2" s="1"/>
  <c r="G43" i="2" s="1"/>
  <c r="E42" i="2"/>
  <c r="F42" i="2" s="1"/>
  <c r="G42" i="2" s="1"/>
  <c r="E41" i="2"/>
  <c r="F41" i="2" s="1"/>
  <c r="G41" i="2" s="1"/>
  <c r="E40" i="2"/>
  <c r="F40" i="2" s="1"/>
  <c r="G40" i="2" s="1"/>
  <c r="E39" i="2"/>
  <c r="F39" i="2" s="1"/>
  <c r="G39" i="2" s="1"/>
  <c r="E38" i="2"/>
  <c r="F38" i="2" s="1"/>
  <c r="G38" i="2" s="1"/>
  <c r="E37" i="2"/>
  <c r="F37" i="2" s="1"/>
  <c r="G37" i="2" s="1"/>
  <c r="E36" i="2"/>
  <c r="F36" i="2" s="1"/>
  <c r="G36" i="2" s="1"/>
  <c r="E35" i="2"/>
  <c r="F35" i="2" s="1"/>
  <c r="G35" i="2" s="1"/>
  <c r="E34" i="2"/>
  <c r="F34" i="2" s="1"/>
  <c r="G34" i="2" s="1"/>
  <c r="E33" i="2"/>
  <c r="F33" i="2" s="1"/>
  <c r="G33" i="2" s="1"/>
  <c r="E32" i="2"/>
  <c r="F32" i="2" s="1"/>
  <c r="G32" i="2" s="1"/>
  <c r="E31" i="2"/>
  <c r="F31" i="2" s="1"/>
  <c r="G31" i="2" s="1"/>
  <c r="E30" i="2"/>
  <c r="F30" i="2" s="1"/>
  <c r="G30" i="2" s="1"/>
  <c r="E29" i="2"/>
  <c r="F29" i="2" s="1"/>
  <c r="G29" i="2" s="1"/>
  <c r="E28" i="2"/>
  <c r="F28" i="2" s="1"/>
  <c r="G28" i="2" s="1"/>
  <c r="E27" i="2"/>
  <c r="F27" i="2" s="1"/>
  <c r="G27" i="2" s="1"/>
  <c r="E26" i="2"/>
  <c r="F26" i="2" s="1"/>
  <c r="G26" i="2" s="1"/>
  <c r="E25" i="2"/>
  <c r="F25" i="2" s="1"/>
  <c r="G25" i="2" s="1"/>
  <c r="E24" i="2"/>
  <c r="F24" i="2" s="1"/>
  <c r="G24" i="2" s="1"/>
  <c r="E23" i="2"/>
  <c r="F23" i="2" s="1"/>
  <c r="G23" i="2" s="1"/>
  <c r="E22" i="2"/>
  <c r="F22" i="2" s="1"/>
  <c r="G22" i="2" s="1"/>
  <c r="E21" i="2"/>
  <c r="F21" i="2" s="1"/>
  <c r="G21" i="2" s="1"/>
  <c r="E20" i="2"/>
  <c r="F20" i="2" s="1"/>
  <c r="G20" i="2" s="1"/>
  <c r="E19" i="2"/>
  <c r="F19" i="2" s="1"/>
  <c r="G19" i="2" s="1"/>
  <c r="E18" i="2"/>
  <c r="F18" i="2" s="1"/>
  <c r="G18" i="2" s="1"/>
  <c r="E17" i="2"/>
  <c r="F17" i="2" s="1"/>
  <c r="G17" i="2" s="1"/>
  <c r="E16" i="2"/>
  <c r="F16" i="2" s="1"/>
  <c r="G16" i="2" s="1"/>
  <c r="E15" i="2"/>
  <c r="F15" i="2" s="1"/>
  <c r="G15" i="2" s="1"/>
  <c r="E14" i="2"/>
  <c r="F14" i="2" s="1"/>
  <c r="G14" i="2" s="1"/>
  <c r="E13" i="2"/>
  <c r="F13" i="2" s="1"/>
  <c r="G13" i="2" s="1"/>
  <c r="E12" i="2"/>
  <c r="F12" i="2" s="1"/>
  <c r="G12" i="2" s="1"/>
  <c r="E11" i="2"/>
  <c r="F11" i="2" s="1"/>
  <c r="G11" i="2" s="1"/>
  <c r="E10" i="2"/>
  <c r="F10" i="2" s="1"/>
  <c r="G10" i="2" s="1"/>
  <c r="E9" i="2"/>
  <c r="F9" i="2" s="1"/>
  <c r="G9" i="2" s="1"/>
  <c r="E8" i="2"/>
  <c r="F8" i="2" s="1"/>
  <c r="G8" i="2" s="1"/>
  <c r="E7" i="2"/>
  <c r="F7" i="2" s="1"/>
  <c r="G7" i="2" s="1"/>
  <c r="E6" i="2"/>
  <c r="F6" i="2" s="1"/>
  <c r="G6" i="2" s="1"/>
  <c r="E5" i="2"/>
  <c r="F5" i="2" s="1"/>
  <c r="G5" i="2" s="1"/>
  <c r="E4" i="2"/>
  <c r="F4" i="2" s="1"/>
  <c r="G4" i="2" s="1"/>
  <c r="A4" i="2" a="1"/>
  <c r="A4" i="2" s="1"/>
  <c r="E3" i="2"/>
  <c r="F3" i="2" s="1"/>
  <c r="G3" i="2" s="1"/>
  <c r="E2" i="2"/>
  <c r="F2" i="2" s="1"/>
  <c r="G2" i="2" s="1"/>
  <c r="H5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I2" i="1"/>
  <c r="E2" i="1"/>
  <c r="I30" i="1"/>
  <c r="I28" i="1"/>
  <c r="I27" i="1"/>
  <c r="I25" i="1"/>
  <c r="I23" i="1"/>
  <c r="I22" i="1"/>
  <c r="I20" i="1"/>
  <c r="I18" i="1"/>
  <c r="I17" i="1"/>
  <c r="I15" i="1"/>
  <c r="I14" i="1"/>
  <c r="I12" i="1"/>
  <c r="I11" i="1"/>
  <c r="I9" i="1"/>
  <c r="I8" i="1"/>
  <c r="I7" i="1"/>
  <c r="I5" i="1"/>
  <c r="I6" i="1"/>
  <c r="I4" i="1"/>
  <c r="I31" i="1"/>
  <c r="I29" i="1"/>
  <c r="I26" i="1"/>
  <c r="I24" i="1"/>
  <c r="I21" i="1"/>
  <c r="I19" i="1"/>
  <c r="I16" i="1"/>
  <c r="I13" i="1"/>
  <c r="I10" i="1"/>
  <c r="I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H30" i="1"/>
  <c r="H31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<sst xmlns="http://schemas.openxmlformats.org/spreadsheetml/2006/main" count="632" uniqueCount="87">
  <si>
    <t>order_id</t>
  </si>
  <si>
    <t>product_type</t>
  </si>
  <si>
    <t>quantity</t>
  </si>
  <si>
    <t>planned_start</t>
  </si>
  <si>
    <t>planned_end</t>
  </si>
  <si>
    <t>actual_start</t>
  </si>
  <si>
    <t>actual_end</t>
  </si>
  <si>
    <t>total_planned_hours</t>
  </si>
  <si>
    <t>total_actual_hours</t>
  </si>
  <si>
    <t>order_status</t>
  </si>
  <si>
    <t>stage_name</t>
  </si>
  <si>
    <t>machine_id</t>
  </si>
  <si>
    <t>operator_id</t>
  </si>
  <si>
    <t>planned_time_min</t>
  </si>
  <si>
    <t>actual_time_min</t>
  </si>
  <si>
    <t>delay_min</t>
  </si>
  <si>
    <t>rework</t>
  </si>
  <si>
    <t>machine_type</t>
  </si>
  <si>
    <t>availability_pct</t>
  </si>
  <si>
    <t>failure_rate_pct</t>
  </si>
  <si>
    <t>maintenance_type</t>
  </si>
  <si>
    <t>shift</t>
  </si>
  <si>
    <t>experience_years</t>
  </si>
  <si>
    <t>M-01</t>
  </si>
  <si>
    <t>M-02</t>
  </si>
  <si>
    <t>M-03</t>
  </si>
  <si>
    <t>M-04</t>
  </si>
  <si>
    <t>M-05</t>
  </si>
  <si>
    <t>M-06</t>
  </si>
  <si>
    <t>Cutting Machine</t>
  </si>
  <si>
    <t>Welding Station</t>
  </si>
  <si>
    <t>Assembly Line</t>
  </si>
  <si>
    <t>Finishing Unit</t>
  </si>
  <si>
    <t>Preventive</t>
  </si>
  <si>
    <t>Corrective</t>
  </si>
  <si>
    <t>OP-01</t>
  </si>
  <si>
    <t>OP-02</t>
  </si>
  <si>
    <t>OP-03</t>
  </si>
  <si>
    <t>OP-04</t>
  </si>
  <si>
    <t>OP-05</t>
  </si>
  <si>
    <t>OP-06</t>
  </si>
  <si>
    <t>OP-07</t>
  </si>
  <si>
    <t>OP-08</t>
  </si>
  <si>
    <t>Morning</t>
  </si>
  <si>
    <t>Afternoon</t>
  </si>
  <si>
    <t>Night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</si>
  <si>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</si>
  <si>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</si>
  <si>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</si>
  <si>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</si>
  <si>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</si>
  <si>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</si>
  <si>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</si>
  <si>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</si>
  <si>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</si>
  <si>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</si>
  <si>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</si>
  <si>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</si>
  <si>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</si>
  <si>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</si>
  <si>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</si>
  <si>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</si>
  <si>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</si>
  <si>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</si>
  <si>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</si>
  <si>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</si>
  <si>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</si>
  <si>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</si>
  <si>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</si>
  <si>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</si>
  <si>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</si>
  <si>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</si>
  <si>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</si>
  <si>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</si>
  <si>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</si>
  <si>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</si>
  <si>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Product A</t>
  </si>
  <si>
    <t>Product B</t>
  </si>
  <si>
    <t>Product C</t>
  </si>
  <si>
    <t>delayed</t>
  </si>
  <si>
    <t>on-time</t>
  </si>
  <si>
    <t>Cutting</t>
  </si>
  <si>
    <t>Welding</t>
  </si>
  <si>
    <t>Assembly</t>
  </si>
  <si>
    <t>Finishing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</si>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</sst>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m/d/yy\ h:mm\ AM/P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esktop\business-production-analyst\data\processed\business_production_clean.xlsx" TargetMode="External"/><Relationship Id="rId1" Type="http://schemas.openxmlformats.org/officeDocument/2006/relationships/externalLinkPath" Target="/Users/Usuario/Desktop/business-production-analyst/data/processed/business_production_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ion_orders"/>
      <sheetName val="production_stages"/>
      <sheetName val="machines"/>
      <sheetName val="operators"/>
      <sheetName val="calculated_fields"/>
      <sheetName val="KPIs"/>
      <sheetName val="visuals"/>
    </sheetNames>
    <sheetDataSet>
      <sheetData sheetId="0">
        <row r="2">
          <cell r="H2">
            <v>160</v>
          </cell>
        </row>
        <row r="3">
          <cell r="H3">
            <v>120</v>
          </cell>
        </row>
        <row r="4">
          <cell r="H4">
            <v>100</v>
          </cell>
        </row>
        <row r="5">
          <cell r="H5">
            <v>240</v>
          </cell>
        </row>
        <row r="6">
          <cell r="H6">
            <v>200</v>
          </cell>
        </row>
        <row r="7">
          <cell r="H7">
            <v>160</v>
          </cell>
        </row>
        <row r="8">
          <cell r="H8">
            <v>90</v>
          </cell>
        </row>
        <row r="9">
          <cell r="H9">
            <v>100</v>
          </cell>
        </row>
        <row r="10">
          <cell r="H10">
            <v>225</v>
          </cell>
        </row>
        <row r="11">
          <cell r="H11">
            <v>175</v>
          </cell>
        </row>
        <row r="12">
          <cell r="H12">
            <v>160</v>
          </cell>
        </row>
        <row r="13">
          <cell r="H13">
            <v>360</v>
          </cell>
        </row>
        <row r="14">
          <cell r="H14">
            <v>75</v>
          </cell>
        </row>
        <row r="15">
          <cell r="H15">
            <v>80</v>
          </cell>
        </row>
        <row r="16">
          <cell r="H16">
            <v>120</v>
          </cell>
        </row>
        <row r="17">
          <cell r="H17">
            <v>175</v>
          </cell>
        </row>
        <row r="18">
          <cell r="H18">
            <v>144</v>
          </cell>
        </row>
        <row r="19">
          <cell r="H19">
            <v>40</v>
          </cell>
        </row>
        <row r="20">
          <cell r="H20">
            <v>360</v>
          </cell>
        </row>
        <row r="21">
          <cell r="H21">
            <v>20</v>
          </cell>
        </row>
        <row r="22">
          <cell r="H22">
            <v>250</v>
          </cell>
        </row>
        <row r="23">
          <cell r="H23">
            <v>100</v>
          </cell>
        </row>
        <row r="24">
          <cell r="H24">
            <v>150</v>
          </cell>
        </row>
        <row r="25">
          <cell r="H25">
            <v>240</v>
          </cell>
        </row>
        <row r="26">
          <cell r="H26">
            <v>60</v>
          </cell>
        </row>
        <row r="27">
          <cell r="H27">
            <v>40</v>
          </cell>
        </row>
        <row r="28">
          <cell r="H28">
            <v>150</v>
          </cell>
        </row>
        <row r="29">
          <cell r="H29">
            <v>120</v>
          </cell>
        </row>
        <row r="30">
          <cell r="H30">
            <v>250</v>
          </cell>
        </row>
        <row r="31">
          <cell r="H31">
            <v>150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workbookViewId="0">
      <selection activeCell="I5" sqref="I5"/>
    </sheetView>
  </sheetViews>
  <sheetFormatPr baseColWidth="10" defaultColWidth="9.140625" defaultRowHeight="15" x14ac:dyDescent="0.25"/>
  <cols>
    <col min="1" max="1" width="8.5703125" bestFit="1" customWidth="1"/>
    <col min="2" max="2" width="12.85546875" bestFit="1" customWidth="1"/>
    <col min="3" max="3" width="8.42578125" bestFit="1" customWidth="1"/>
    <col min="4" max="4" width="28.140625" bestFit="1" customWidth="1"/>
    <col min="5" max="5" width="25.28515625" bestFit="1" customWidth="1"/>
    <col min="6" max="6" width="28.140625" bestFit="1" customWidth="1"/>
    <col min="7" max="7" width="16.28515625" bestFit="1" customWidth="1"/>
    <col min="8" max="8" width="19.5703125" bestFit="1" customWidth="1"/>
    <col min="9" max="9" width="17.5703125" bestFit="1" customWidth="1"/>
    <col min="10" max="10" width="12.140625" bestFit="1" customWidth="1"/>
    <col min="12" max="12" width="12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46</v>
      </c>
      <c r="B2" t="s">
        <v>76</v>
      </c>
      <c r="C2" s="1">
        <v>40</v>
      </c>
      <c r="D2" s="2">
        <v>46055.333333333336</v>
      </c>
      <c r="E2" s="3">
        <f>D2+(H2/24)</f>
        <v>46062</v>
      </c>
      <c r="F2" s="2">
        <v>46055.333333333336</v>
      </c>
      <c r="G2" s="3">
        <f>D2+(I2/24)</f>
        <v>46063.333333333336</v>
      </c>
      <c r="H2" s="1">
        <v>160</v>
      </c>
      <c r="I2" s="1">
        <f>H2+((H2*20)/100)</f>
        <v>192</v>
      </c>
      <c r="J2" t="s">
        <v>79</v>
      </c>
    </row>
    <row r="3" spans="1:10" x14ac:dyDescent="0.25">
      <c r="A3" t="s">
        <v>47</v>
      </c>
      <c r="B3" t="s">
        <v>78</v>
      </c>
      <c r="C3" s="1">
        <v>20</v>
      </c>
      <c r="D3" s="2">
        <v>46056.333333333336</v>
      </c>
      <c r="E3" s="3">
        <f t="shared" ref="E3:E31" si="0">D3+(H3/24)</f>
        <v>46061.333333333336</v>
      </c>
      <c r="F3" s="2">
        <v>46056.333333333336</v>
      </c>
      <c r="G3" s="3">
        <f t="shared" ref="G3:G31" si="1">D3+(I3/24)</f>
        <v>46062.283333333333</v>
      </c>
      <c r="H3" s="1">
        <f>(C3*6)</f>
        <v>120</v>
      </c>
      <c r="I3" s="1">
        <f>H3+((H3*19)/100)</f>
        <v>142.80000000000001</v>
      </c>
      <c r="J3" t="s">
        <v>79</v>
      </c>
    </row>
    <row r="4" spans="1:10" x14ac:dyDescent="0.25">
      <c r="A4" t="s">
        <v>48</v>
      </c>
      <c r="B4" t="s">
        <v>77</v>
      </c>
      <c r="C4" s="1">
        <v>20</v>
      </c>
      <c r="D4" s="2">
        <v>46057.333333333336</v>
      </c>
      <c r="E4" s="3">
        <f t="shared" si="0"/>
        <v>46061.5</v>
      </c>
      <c r="F4" s="2">
        <v>46057.333333333336</v>
      </c>
      <c r="G4" s="3">
        <f t="shared" si="1"/>
        <v>46061.708333333336</v>
      </c>
      <c r="H4" s="1">
        <f>(C4*5)</f>
        <v>100</v>
      </c>
      <c r="I4">
        <f>H4+(H4*5%)</f>
        <v>105</v>
      </c>
      <c r="J4" t="s">
        <v>80</v>
      </c>
    </row>
    <row r="5" spans="1:10" x14ac:dyDescent="0.25">
      <c r="A5" t="s">
        <v>49</v>
      </c>
      <c r="B5" t="s">
        <v>76</v>
      </c>
      <c r="C5" s="1">
        <v>60</v>
      </c>
      <c r="D5" s="2">
        <v>46058.333333333336</v>
      </c>
      <c r="E5" s="3">
        <f t="shared" si="0"/>
        <v>46068.333333333336</v>
      </c>
      <c r="F5" s="2">
        <v>46058.333333333336</v>
      </c>
      <c r="G5" s="3">
        <f t="shared" si="1"/>
        <v>46068.533333333333</v>
      </c>
      <c r="H5" s="1">
        <f>(C5*4)</f>
        <v>240</v>
      </c>
      <c r="I5">
        <f>H5+(H5*2%)</f>
        <v>244.8</v>
      </c>
      <c r="J5" t="s">
        <v>80</v>
      </c>
    </row>
    <row r="6" spans="1:10" x14ac:dyDescent="0.25">
      <c r="A6" t="s">
        <v>50</v>
      </c>
      <c r="B6" t="s">
        <v>77</v>
      </c>
      <c r="C6" s="1">
        <v>40</v>
      </c>
      <c r="D6" s="2">
        <v>46059.333333333336</v>
      </c>
      <c r="E6" s="3">
        <f t="shared" si="0"/>
        <v>46067.666666666672</v>
      </c>
      <c r="F6" s="2">
        <v>46059.333333333336</v>
      </c>
      <c r="G6" s="3">
        <f t="shared" si="1"/>
        <v>46070.166666666672</v>
      </c>
      <c r="H6" s="1">
        <f>(C6*5)</f>
        <v>200</v>
      </c>
      <c r="I6" s="1">
        <f>H6+((H6*30)/100)</f>
        <v>260</v>
      </c>
      <c r="J6" t="s">
        <v>79</v>
      </c>
    </row>
    <row r="7" spans="1:10" x14ac:dyDescent="0.25">
      <c r="A7" t="s">
        <v>51</v>
      </c>
      <c r="B7" t="s">
        <v>76</v>
      </c>
      <c r="C7" s="1">
        <v>40</v>
      </c>
      <c r="D7" s="2">
        <v>46062.333333333336</v>
      </c>
      <c r="E7" s="3">
        <f t="shared" si="0"/>
        <v>46069</v>
      </c>
      <c r="F7" s="2">
        <v>46062.333333333336</v>
      </c>
      <c r="G7" s="3">
        <f t="shared" si="1"/>
        <v>46069.200000000004</v>
      </c>
      <c r="H7" s="1">
        <f>(C7*4)</f>
        <v>160</v>
      </c>
      <c r="I7">
        <f>H7+(H7*3%)</f>
        <v>164.8</v>
      </c>
      <c r="J7" t="s">
        <v>80</v>
      </c>
    </row>
    <row r="8" spans="1:10" x14ac:dyDescent="0.25">
      <c r="A8" t="s">
        <v>52</v>
      </c>
      <c r="B8" t="s">
        <v>78</v>
      </c>
      <c r="C8" s="1">
        <v>15</v>
      </c>
      <c r="D8" s="2">
        <v>46063.333333333336</v>
      </c>
      <c r="E8" s="3">
        <f t="shared" si="0"/>
        <v>46067.083333333336</v>
      </c>
      <c r="F8" s="2">
        <v>46063.333333333336</v>
      </c>
      <c r="G8" s="3">
        <f t="shared" si="1"/>
        <v>46067.214583333334</v>
      </c>
      <c r="H8" s="1">
        <f>(C8*6)</f>
        <v>90</v>
      </c>
      <c r="I8">
        <f>H8+(H8*3.5%)</f>
        <v>93.15</v>
      </c>
      <c r="J8" t="s">
        <v>80</v>
      </c>
    </row>
    <row r="9" spans="1:10" x14ac:dyDescent="0.25">
      <c r="A9" t="s">
        <v>53</v>
      </c>
      <c r="B9" t="s">
        <v>76</v>
      </c>
      <c r="C9" s="1">
        <v>25</v>
      </c>
      <c r="D9" s="2">
        <v>46064.333333333336</v>
      </c>
      <c r="E9" s="3">
        <f t="shared" si="0"/>
        <v>46068.5</v>
      </c>
      <c r="F9" s="2">
        <v>46064.333333333336</v>
      </c>
      <c r="G9" s="3">
        <f t="shared" si="1"/>
        <v>46068.291666666672</v>
      </c>
      <c r="H9" s="1">
        <f>(C9*4)</f>
        <v>100</v>
      </c>
      <c r="I9">
        <f>H9+(H9*-5%)</f>
        <v>95</v>
      </c>
      <c r="J9" t="s">
        <v>80</v>
      </c>
    </row>
    <row r="10" spans="1:10" x14ac:dyDescent="0.25">
      <c r="A10" t="s">
        <v>54</v>
      </c>
      <c r="B10" t="s">
        <v>77</v>
      </c>
      <c r="C10" s="1">
        <v>45</v>
      </c>
      <c r="D10" s="2">
        <v>46065.333333333336</v>
      </c>
      <c r="E10" s="3">
        <f t="shared" si="0"/>
        <v>46074.708333333336</v>
      </c>
      <c r="F10" s="2">
        <v>46065.333333333336</v>
      </c>
      <c r="G10" s="3">
        <f t="shared" si="1"/>
        <v>46076.770833333336</v>
      </c>
      <c r="H10" s="1">
        <f>(C10*5)</f>
        <v>225</v>
      </c>
      <c r="I10" s="1">
        <f>H10+((H10*22)/100)</f>
        <v>274.5</v>
      </c>
      <c r="J10" t="s">
        <v>79</v>
      </c>
    </row>
    <row r="11" spans="1:10" x14ac:dyDescent="0.25">
      <c r="A11" t="s">
        <v>55</v>
      </c>
      <c r="B11" t="s">
        <v>77</v>
      </c>
      <c r="C11" s="1">
        <v>35</v>
      </c>
      <c r="D11" s="2">
        <v>46066.333333333336</v>
      </c>
      <c r="E11" s="3">
        <f t="shared" si="0"/>
        <v>46073.625</v>
      </c>
      <c r="F11" s="2">
        <v>46066.333333333336</v>
      </c>
      <c r="G11" s="3">
        <f t="shared" si="1"/>
        <v>46073.260416666672</v>
      </c>
      <c r="H11" s="1">
        <f>(C11*5)</f>
        <v>175</v>
      </c>
      <c r="I11">
        <f>H11+(H11*-5%)</f>
        <v>166.25</v>
      </c>
      <c r="J11" t="s">
        <v>80</v>
      </c>
    </row>
    <row r="12" spans="1:10" x14ac:dyDescent="0.25">
      <c r="A12" t="s">
        <v>56</v>
      </c>
      <c r="B12" t="s">
        <v>76</v>
      </c>
      <c r="C12" s="1">
        <v>40</v>
      </c>
      <c r="D12" s="2">
        <v>46069.333333333336</v>
      </c>
      <c r="E12" s="3">
        <f t="shared" si="0"/>
        <v>46076</v>
      </c>
      <c r="F12" s="2">
        <v>46069.333333333336</v>
      </c>
      <c r="G12" s="3">
        <f t="shared" si="1"/>
        <v>46076.100000000006</v>
      </c>
      <c r="H12" s="1">
        <f>(C12*4)</f>
        <v>160</v>
      </c>
      <c r="I12">
        <f>H12+(H12*1.5%)</f>
        <v>162.4</v>
      </c>
      <c r="J12" t="s">
        <v>80</v>
      </c>
    </row>
    <row r="13" spans="1:10" x14ac:dyDescent="0.25">
      <c r="A13" t="s">
        <v>57</v>
      </c>
      <c r="B13" t="s">
        <v>78</v>
      </c>
      <c r="C13" s="1">
        <v>60</v>
      </c>
      <c r="D13" s="2">
        <v>46070.333333333336</v>
      </c>
      <c r="E13" s="3">
        <f t="shared" si="0"/>
        <v>46085.333333333336</v>
      </c>
      <c r="F13" s="2">
        <v>46070.333333333336</v>
      </c>
      <c r="G13" s="3">
        <f t="shared" si="1"/>
        <v>46089.383333333339</v>
      </c>
      <c r="H13" s="1">
        <f>(C13*6)</f>
        <v>360</v>
      </c>
      <c r="I13" s="1">
        <f>H13+((H13*27)/100)</f>
        <v>457.2</v>
      </c>
      <c r="J13" t="s">
        <v>79</v>
      </c>
    </row>
    <row r="14" spans="1:10" x14ac:dyDescent="0.25">
      <c r="A14" t="s">
        <v>58</v>
      </c>
      <c r="B14" t="s">
        <v>77</v>
      </c>
      <c r="C14" s="1">
        <v>15</v>
      </c>
      <c r="D14" s="2">
        <v>46071.333333333336</v>
      </c>
      <c r="E14" s="3">
        <f t="shared" si="0"/>
        <v>46074.458333333336</v>
      </c>
      <c r="F14" s="2">
        <v>46071.333333333336</v>
      </c>
      <c r="G14" s="3">
        <f t="shared" si="1"/>
        <v>46074.442708333336</v>
      </c>
      <c r="H14" s="1">
        <f>(C14*5)</f>
        <v>75</v>
      </c>
      <c r="I14">
        <f>H14+(H14*-0.5%)</f>
        <v>74.625</v>
      </c>
      <c r="J14" t="s">
        <v>80</v>
      </c>
    </row>
    <row r="15" spans="1:10" x14ac:dyDescent="0.25">
      <c r="A15" t="s">
        <v>59</v>
      </c>
      <c r="B15" t="s">
        <v>76</v>
      </c>
      <c r="C15" s="1">
        <v>20</v>
      </c>
      <c r="D15" s="2">
        <v>46072.333333333336</v>
      </c>
      <c r="E15" s="3">
        <f t="shared" si="0"/>
        <v>46075.666666666672</v>
      </c>
      <c r="F15" s="2">
        <v>46072.333333333336</v>
      </c>
      <c r="G15" s="3">
        <f t="shared" si="1"/>
        <v>46075.65</v>
      </c>
      <c r="H15" s="1">
        <f>(C15*4)</f>
        <v>80</v>
      </c>
      <c r="I15">
        <f>H15+(H15*-0.5%)</f>
        <v>79.599999999999994</v>
      </c>
      <c r="J15" t="s">
        <v>80</v>
      </c>
    </row>
    <row r="16" spans="1:10" x14ac:dyDescent="0.25">
      <c r="A16" t="s">
        <v>60</v>
      </c>
      <c r="B16" t="s">
        <v>76</v>
      </c>
      <c r="C16" s="1">
        <v>30</v>
      </c>
      <c r="D16" s="2">
        <v>46073.333333333336</v>
      </c>
      <c r="E16" s="3">
        <f t="shared" si="0"/>
        <v>46078.333333333336</v>
      </c>
      <c r="F16" s="2">
        <v>46073.333333333336</v>
      </c>
      <c r="G16" s="3">
        <f t="shared" si="1"/>
        <v>46079.233333333337</v>
      </c>
      <c r="H16" s="1">
        <f>(C16*4)</f>
        <v>120</v>
      </c>
      <c r="I16" s="1">
        <f>H16+((H16*18)/100)</f>
        <v>141.6</v>
      </c>
      <c r="J16" t="s">
        <v>79</v>
      </c>
    </row>
    <row r="17" spans="1:10" x14ac:dyDescent="0.25">
      <c r="A17" t="s">
        <v>61</v>
      </c>
      <c r="B17" t="s">
        <v>77</v>
      </c>
      <c r="C17" s="1">
        <v>35</v>
      </c>
      <c r="D17" s="2">
        <v>46076.333333333336</v>
      </c>
      <c r="E17" s="3">
        <f t="shared" si="0"/>
        <v>46083.625</v>
      </c>
      <c r="F17" s="2">
        <v>46076.333333333336</v>
      </c>
      <c r="G17" s="3">
        <f t="shared" si="1"/>
        <v>46083.916666666672</v>
      </c>
      <c r="H17" s="1">
        <f>(C17*5)</f>
        <v>175</v>
      </c>
      <c r="I17">
        <f>H17+(H17*4%)</f>
        <v>182</v>
      </c>
      <c r="J17" t="s">
        <v>80</v>
      </c>
    </row>
    <row r="18" spans="1:10" x14ac:dyDescent="0.25">
      <c r="A18" t="s">
        <v>62</v>
      </c>
      <c r="B18" t="s">
        <v>76</v>
      </c>
      <c r="C18" s="1">
        <v>36</v>
      </c>
      <c r="D18" s="2">
        <v>46077.333333333336</v>
      </c>
      <c r="E18" s="3">
        <f t="shared" si="0"/>
        <v>46083.333333333336</v>
      </c>
      <c r="F18" s="2">
        <v>46077.333333333336</v>
      </c>
      <c r="G18" s="3">
        <f t="shared" si="1"/>
        <v>46083.393333333333</v>
      </c>
      <c r="H18" s="1">
        <f>(C18*4)</f>
        <v>144</v>
      </c>
      <c r="I18">
        <f>H18+(H18*1%)</f>
        <v>145.44</v>
      </c>
      <c r="J18" t="s">
        <v>80</v>
      </c>
    </row>
    <row r="19" spans="1:10" x14ac:dyDescent="0.25">
      <c r="A19" t="s">
        <v>63</v>
      </c>
      <c r="B19" t="s">
        <v>76</v>
      </c>
      <c r="C19" s="1">
        <v>10</v>
      </c>
      <c r="D19" s="2">
        <v>46078.333333333336</v>
      </c>
      <c r="E19" s="3">
        <f t="shared" si="0"/>
        <v>46080</v>
      </c>
      <c r="F19" s="2">
        <v>46078.333333333336</v>
      </c>
      <c r="G19" s="3">
        <f t="shared" si="1"/>
        <v>46080.4</v>
      </c>
      <c r="H19" s="1">
        <f>(C19*4)</f>
        <v>40</v>
      </c>
      <c r="I19" s="1">
        <f>H19+((H19*24)/100)</f>
        <v>49.6</v>
      </c>
      <c r="J19" t="s">
        <v>79</v>
      </c>
    </row>
    <row r="20" spans="1:10" x14ac:dyDescent="0.25">
      <c r="A20" t="s">
        <v>64</v>
      </c>
      <c r="B20" t="s">
        <v>78</v>
      </c>
      <c r="C20" s="1">
        <v>60</v>
      </c>
      <c r="D20" s="2">
        <v>46079.333333333336</v>
      </c>
      <c r="E20" s="3">
        <f t="shared" si="0"/>
        <v>46094.333333333336</v>
      </c>
      <c r="F20" s="2">
        <v>46079.333333333336</v>
      </c>
      <c r="G20" s="3">
        <f t="shared" si="1"/>
        <v>46094.273333333338</v>
      </c>
      <c r="H20" s="1">
        <f>(C20*6)</f>
        <v>360</v>
      </c>
      <c r="I20">
        <f>H20+(H20*-0.4%)</f>
        <v>358.56</v>
      </c>
      <c r="J20" t="s">
        <v>80</v>
      </c>
    </row>
    <row r="21" spans="1:10" x14ac:dyDescent="0.25">
      <c r="A21" t="s">
        <v>65</v>
      </c>
      <c r="B21" t="s">
        <v>76</v>
      </c>
      <c r="C21" s="1">
        <v>5</v>
      </c>
      <c r="D21" s="2">
        <v>46080.333333333336</v>
      </c>
      <c r="E21" s="3">
        <f t="shared" si="0"/>
        <v>46081.166666666672</v>
      </c>
      <c r="F21" s="2">
        <v>46080.333333333336</v>
      </c>
      <c r="G21" s="3">
        <f t="shared" si="1"/>
        <v>46081.350000000006</v>
      </c>
      <c r="H21" s="1">
        <f>(C21*4)</f>
        <v>20</v>
      </c>
      <c r="I21" s="1">
        <f>H21+((H21*22)/100)</f>
        <v>24.4</v>
      </c>
      <c r="J21" t="s">
        <v>79</v>
      </c>
    </row>
    <row r="22" spans="1:10" x14ac:dyDescent="0.25">
      <c r="A22" t="s">
        <v>66</v>
      </c>
      <c r="B22" t="s">
        <v>77</v>
      </c>
      <c r="C22" s="1">
        <v>50</v>
      </c>
      <c r="D22" s="2">
        <v>46083.333333333336</v>
      </c>
      <c r="E22" s="3">
        <f t="shared" si="0"/>
        <v>46093.75</v>
      </c>
      <c r="F22" s="2">
        <v>46083.333333333336</v>
      </c>
      <c r="G22" s="3">
        <f t="shared" si="1"/>
        <v>46093.708333333336</v>
      </c>
      <c r="H22" s="1">
        <f>(C22*5)</f>
        <v>250</v>
      </c>
      <c r="I22">
        <f>H22+(H22*-0.4%)</f>
        <v>249</v>
      </c>
      <c r="J22" t="s">
        <v>80</v>
      </c>
    </row>
    <row r="23" spans="1:10" x14ac:dyDescent="0.25">
      <c r="A23" t="s">
        <v>67</v>
      </c>
      <c r="B23" t="s">
        <v>76</v>
      </c>
      <c r="C23" s="1">
        <v>25</v>
      </c>
      <c r="D23" s="2">
        <v>46084.333333333336</v>
      </c>
      <c r="E23" s="3">
        <f t="shared" si="0"/>
        <v>46088.5</v>
      </c>
      <c r="F23" s="2">
        <v>46084.333333333336</v>
      </c>
      <c r="G23" s="3">
        <f t="shared" si="1"/>
        <v>46088.333333333336</v>
      </c>
      <c r="H23" s="1">
        <f>(C23*4)</f>
        <v>100</v>
      </c>
      <c r="I23">
        <f>H23+(H23*-4%)</f>
        <v>96</v>
      </c>
      <c r="J23" t="s">
        <v>80</v>
      </c>
    </row>
    <row r="24" spans="1:10" x14ac:dyDescent="0.25">
      <c r="A24" t="s">
        <v>68</v>
      </c>
      <c r="B24" t="s">
        <v>77</v>
      </c>
      <c r="C24" s="1">
        <v>30</v>
      </c>
      <c r="D24" s="2">
        <v>46085.333333333336</v>
      </c>
      <c r="E24" s="3">
        <f t="shared" si="0"/>
        <v>46091.583333333336</v>
      </c>
      <c r="F24" s="2">
        <v>46085.333333333336</v>
      </c>
      <c r="G24" s="3">
        <f t="shared" si="1"/>
        <v>46093.208333333336</v>
      </c>
      <c r="H24" s="1">
        <f>(C24*5)</f>
        <v>150</v>
      </c>
      <c r="I24" s="1">
        <f>H24+((H24*26)/100)</f>
        <v>189</v>
      </c>
      <c r="J24" t="s">
        <v>79</v>
      </c>
    </row>
    <row r="25" spans="1:10" x14ac:dyDescent="0.25">
      <c r="A25" t="s">
        <v>69</v>
      </c>
      <c r="B25" t="s">
        <v>76</v>
      </c>
      <c r="C25" s="1">
        <v>60</v>
      </c>
      <c r="D25" s="2">
        <v>46086.333333333336</v>
      </c>
      <c r="E25" s="3">
        <f t="shared" si="0"/>
        <v>46096.333333333336</v>
      </c>
      <c r="F25" s="2">
        <v>46086.333333333336</v>
      </c>
      <c r="G25" s="3">
        <f t="shared" si="1"/>
        <v>46096.133333333339</v>
      </c>
      <c r="H25" s="1">
        <f>(C25*4)</f>
        <v>240</v>
      </c>
      <c r="I25">
        <f>H25+(H25*-2%)</f>
        <v>235.2</v>
      </c>
      <c r="J25" t="s">
        <v>80</v>
      </c>
    </row>
    <row r="26" spans="1:10" x14ac:dyDescent="0.25">
      <c r="A26" t="s">
        <v>70</v>
      </c>
      <c r="B26" t="s">
        <v>78</v>
      </c>
      <c r="C26" s="1">
        <v>10</v>
      </c>
      <c r="D26" s="2">
        <v>46087.333333333336</v>
      </c>
      <c r="E26" s="3">
        <f t="shared" si="0"/>
        <v>46089.833333333336</v>
      </c>
      <c r="F26" s="2">
        <v>46087.333333333336</v>
      </c>
      <c r="G26" s="3">
        <f t="shared" si="1"/>
        <v>46099.833333333336</v>
      </c>
      <c r="H26" s="1">
        <f>(C26*6)</f>
        <v>60</v>
      </c>
      <c r="I26" s="1">
        <f>H25+((H25*25)/100)</f>
        <v>300</v>
      </c>
      <c r="J26" t="s">
        <v>79</v>
      </c>
    </row>
    <row r="27" spans="1:10" x14ac:dyDescent="0.25">
      <c r="A27" t="s">
        <v>71</v>
      </c>
      <c r="B27" t="s">
        <v>76</v>
      </c>
      <c r="C27" s="1">
        <v>10</v>
      </c>
      <c r="D27" s="2">
        <v>46090.333333333336</v>
      </c>
      <c r="E27" s="3">
        <f t="shared" si="0"/>
        <v>46092</v>
      </c>
      <c r="F27" s="2">
        <v>46090.333333333336</v>
      </c>
      <c r="G27" s="3">
        <f t="shared" si="1"/>
        <v>46091.916666666672</v>
      </c>
      <c r="H27" s="1">
        <f>(C27*4)</f>
        <v>40</v>
      </c>
      <c r="I27">
        <f>H27+(H27*-5%)</f>
        <v>38</v>
      </c>
      <c r="J27" t="s">
        <v>80</v>
      </c>
    </row>
    <row r="28" spans="1:10" x14ac:dyDescent="0.25">
      <c r="A28" t="s">
        <v>72</v>
      </c>
      <c r="B28" t="s">
        <v>77</v>
      </c>
      <c r="C28" s="1">
        <v>30</v>
      </c>
      <c r="D28" s="2">
        <v>46091.333333333336</v>
      </c>
      <c r="E28" s="3">
        <f t="shared" si="0"/>
        <v>46097.583333333336</v>
      </c>
      <c r="F28" s="2">
        <v>46091.333333333336</v>
      </c>
      <c r="G28" s="3">
        <f t="shared" si="1"/>
        <v>46097.458333333336</v>
      </c>
      <c r="H28" s="1">
        <f>(C28*5)</f>
        <v>150</v>
      </c>
      <c r="I28">
        <f>H28+(H28*-2%)</f>
        <v>147</v>
      </c>
      <c r="J28" t="s">
        <v>80</v>
      </c>
    </row>
    <row r="29" spans="1:10" x14ac:dyDescent="0.25">
      <c r="A29" t="s">
        <v>73</v>
      </c>
      <c r="B29" t="s">
        <v>78</v>
      </c>
      <c r="C29" s="1">
        <v>20</v>
      </c>
      <c r="D29" s="2">
        <v>46092.333333333336</v>
      </c>
      <c r="E29" s="3">
        <f t="shared" si="0"/>
        <v>46097.333333333336</v>
      </c>
      <c r="F29" s="2">
        <v>46092.333333333336</v>
      </c>
      <c r="G29" s="3">
        <f t="shared" si="1"/>
        <v>46098.083333333336</v>
      </c>
      <c r="H29" s="1">
        <f>(C29*6)</f>
        <v>120</v>
      </c>
      <c r="I29" s="1">
        <f>H29+((H29*15)/100)</f>
        <v>138</v>
      </c>
      <c r="J29" t="s">
        <v>79</v>
      </c>
    </row>
    <row r="30" spans="1:10" x14ac:dyDescent="0.25">
      <c r="A30" t="s">
        <v>74</v>
      </c>
      <c r="B30" t="s">
        <v>77</v>
      </c>
      <c r="C30" s="1">
        <v>50</v>
      </c>
      <c r="D30" s="2">
        <v>46093.333333333336</v>
      </c>
      <c r="E30" s="3">
        <f t="shared" si="0"/>
        <v>46103.75</v>
      </c>
      <c r="F30" s="2">
        <v>46093.333333333336</v>
      </c>
      <c r="G30" s="3">
        <f t="shared" si="1"/>
        <v>46104.166666666672</v>
      </c>
      <c r="H30" s="1">
        <f>(C30*5)</f>
        <v>250</v>
      </c>
      <c r="I30">
        <f>H30+(H30*4%)</f>
        <v>260</v>
      </c>
      <c r="J30" t="s">
        <v>80</v>
      </c>
    </row>
    <row r="31" spans="1:10" x14ac:dyDescent="0.25">
      <c r="A31" t="s">
        <v>75</v>
      </c>
      <c r="B31" t="s">
        <v>78</v>
      </c>
      <c r="C31" s="1">
        <v>25</v>
      </c>
      <c r="D31" s="2">
        <v>46094.333333333336</v>
      </c>
      <c r="E31" s="3">
        <f t="shared" si="0"/>
        <v>46100.583333333336</v>
      </c>
      <c r="F31" s="2">
        <v>46094.333333333336</v>
      </c>
      <c r="G31" s="3">
        <f t="shared" si="1"/>
        <v>46101.583333333336</v>
      </c>
      <c r="H31" s="1">
        <f>(C31*6)</f>
        <v>150</v>
      </c>
      <c r="I31" s="1">
        <f>H31+((H31*16)/100)</f>
        <v>174</v>
      </c>
      <c r="J31" t="s">
        <v>79</v>
      </c>
    </row>
    <row r="37" spans="5:5" x14ac:dyDescent="0.25">
      <c r="E3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B4CA-5CD4-4D6A-8D94-92A2D5424392}">
  <dimension ref="A1:H121"/>
  <sheetViews>
    <sheetView tabSelected="1" topLeftCell="A70" workbookViewId="0">
      <selection activeCell="O111" sqref="O111"/>
    </sheetView>
  </sheetViews>
  <sheetFormatPr baseColWidth="10" defaultRowHeight="15" x14ac:dyDescent="0.25"/>
  <cols>
    <col min="1" max="1" width="15.7109375" customWidth="1"/>
    <col min="2" max="2" width="11.7109375" bestFit="1" customWidth="1"/>
    <col min="3" max="3" width="11.28515625" bestFit="1" customWidth="1"/>
    <col min="5" max="5" width="18" bestFit="1" customWidth="1"/>
    <col min="6" max="6" width="15.85546875" bestFit="1" customWidth="1"/>
    <col min="7" max="7" width="10.28515625" bestFit="1" customWidth="1"/>
    <col min="8" max="8" width="7.28515625" bestFit="1" customWidth="1"/>
  </cols>
  <sheetData>
    <row r="1" spans="1:8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46</v>
      </c>
      <c r="B2" t="s">
        <v>81</v>
      </c>
      <c r="C2" t="s">
        <v>23</v>
      </c>
      <c r="D2" t="s">
        <v>38</v>
      </c>
      <c r="E2" s="1">
        <f>([1]production_orders!H2*0.2)*60</f>
        <v>1920</v>
      </c>
      <c r="F2" s="1">
        <f>E2+((E2*3)/100)</f>
        <v>1977.6</v>
      </c>
      <c r="G2" s="1">
        <f>F2-E2</f>
        <v>57.599999999999909</v>
      </c>
      <c r="H2" t="s">
        <v>85</v>
      </c>
    </row>
    <row r="3" spans="1:8" x14ac:dyDescent="0.25">
      <c r="A3" t="s">
        <v>46</v>
      </c>
      <c r="B3" t="s">
        <v>82</v>
      </c>
      <c r="C3" t="s">
        <v>26</v>
      </c>
      <c r="D3" t="s">
        <v>36</v>
      </c>
      <c r="E3" s="1">
        <f>([1]production_orders!H2*0.3)*60</f>
        <v>2880</v>
      </c>
      <c r="F3" s="1">
        <f>E3+((E3*12)/100)</f>
        <v>3225.6</v>
      </c>
      <c r="G3" s="1">
        <f t="shared" ref="G3:G4" si="0">F3-E3</f>
        <v>345.59999999999991</v>
      </c>
      <c r="H3" t="s">
        <v>86</v>
      </c>
    </row>
    <row r="4" spans="1:8" x14ac:dyDescent="0.25">
      <c r="A4" t="str" cm="1">
        <f t="array" ref="A4:A121" xml:space="preserve"> "ORD-" &amp; TEXT(_xlfn.SEQUENCE(118, 1, 1, 1/4), "000")</f>
        <v>ORD-001</v>
      </c>
      <c r="B4" t="s">
        <v>83</v>
      </c>
      <c r="C4" t="s">
        <v>27</v>
      </c>
      <c r="D4" t="s">
        <v>36</v>
      </c>
      <c r="E4" s="1">
        <f>([1]production_orders!H2*0.35)*60</f>
        <v>3360</v>
      </c>
      <c r="F4" s="1">
        <f>E4+((E4*3)/100)</f>
        <v>3460.8</v>
      </c>
      <c r="G4" s="1">
        <f t="shared" si="0"/>
        <v>100.80000000000018</v>
      </c>
      <c r="H4" t="s">
        <v>86</v>
      </c>
    </row>
    <row r="5" spans="1:8" x14ac:dyDescent="0.25">
      <c r="A5" t="str">
        <v>ORD-001</v>
      </c>
      <c r="B5" t="s">
        <v>84</v>
      </c>
      <c r="C5" t="s">
        <v>28</v>
      </c>
      <c r="D5" t="s">
        <v>36</v>
      </c>
      <c r="E5" s="1">
        <f>([1]production_orders!H2*0.15)*60</f>
        <v>1440</v>
      </c>
      <c r="F5" s="1">
        <f>E5+((E5*2)/100)</f>
        <v>1468.8</v>
      </c>
      <c r="G5" s="1">
        <f>F5-E5</f>
        <v>28.799999999999955</v>
      </c>
      <c r="H5" t="s">
        <v>85</v>
      </c>
    </row>
    <row r="6" spans="1:8" x14ac:dyDescent="0.25">
      <c r="A6" t="str">
        <v>ORD-002</v>
      </c>
      <c r="B6" t="s">
        <v>81</v>
      </c>
      <c r="C6" t="s">
        <v>23</v>
      </c>
      <c r="D6" t="s">
        <v>37</v>
      </c>
      <c r="E6" s="1">
        <f>([1]production_orders!H3*0.2)*60</f>
        <v>1440</v>
      </c>
      <c r="F6" s="1">
        <f>E6+((E6*5)/100)</f>
        <v>1512</v>
      </c>
      <c r="G6" s="1">
        <f t="shared" ref="G6:G69" si="1">F6-E6</f>
        <v>72</v>
      </c>
      <c r="H6" t="s">
        <v>86</v>
      </c>
    </row>
    <row r="7" spans="1:8" x14ac:dyDescent="0.25">
      <c r="A7" t="str">
        <v>ORD-002</v>
      </c>
      <c r="B7" t="s">
        <v>82</v>
      </c>
      <c r="C7" t="s">
        <v>25</v>
      </c>
      <c r="D7" t="s">
        <v>36</v>
      </c>
      <c r="E7" s="1">
        <f>([1]production_orders!H3*0.3)*60</f>
        <v>2160</v>
      </c>
      <c r="F7" s="1">
        <f>E7+((E7*10)/100)</f>
        <v>2376</v>
      </c>
      <c r="G7" s="1">
        <f t="shared" si="1"/>
        <v>216</v>
      </c>
      <c r="H7" t="s">
        <v>86</v>
      </c>
    </row>
    <row r="8" spans="1:8" x14ac:dyDescent="0.25">
      <c r="A8" t="str">
        <v>ORD-002</v>
      </c>
      <c r="B8" t="s">
        <v>83</v>
      </c>
      <c r="C8" t="s">
        <v>27</v>
      </c>
      <c r="D8" t="s">
        <v>41</v>
      </c>
      <c r="E8" s="1">
        <f>([1]production_orders!H3*0.35)*60</f>
        <v>2520</v>
      </c>
      <c r="F8" s="1">
        <f t="shared" ref="F8:F68" si="2">E8+((E8*2)/100)</f>
        <v>2570.4</v>
      </c>
      <c r="G8" s="1">
        <f t="shared" si="1"/>
        <v>50.400000000000091</v>
      </c>
      <c r="H8" t="s">
        <v>85</v>
      </c>
    </row>
    <row r="9" spans="1:8" x14ac:dyDescent="0.25">
      <c r="A9" t="str">
        <v>ORD-002</v>
      </c>
      <c r="B9" t="s">
        <v>84</v>
      </c>
      <c r="C9" t="s">
        <v>28</v>
      </c>
      <c r="D9" t="s">
        <v>37</v>
      </c>
      <c r="E9" s="1">
        <f>([1]production_orders!H3*0.15)*60</f>
        <v>1080</v>
      </c>
      <c r="F9" s="1">
        <f>E9+((E9*2)/100)</f>
        <v>1101.5999999999999</v>
      </c>
      <c r="G9" s="1">
        <f t="shared" si="1"/>
        <v>21.599999999999909</v>
      </c>
      <c r="H9" t="s">
        <v>85</v>
      </c>
    </row>
    <row r="10" spans="1:8" x14ac:dyDescent="0.25">
      <c r="A10" t="str">
        <v>ORD-003</v>
      </c>
      <c r="B10" t="s">
        <v>81</v>
      </c>
      <c r="C10" t="s">
        <v>23</v>
      </c>
      <c r="D10" t="s">
        <v>40</v>
      </c>
      <c r="E10" s="1">
        <f>([1]production_orders!H4*0.2)*60</f>
        <v>1200</v>
      </c>
      <c r="F10" s="1">
        <f>E10+((E10*1)/100)</f>
        <v>1212</v>
      </c>
      <c r="G10" s="1">
        <f t="shared" si="1"/>
        <v>12</v>
      </c>
      <c r="H10" t="s">
        <v>85</v>
      </c>
    </row>
    <row r="11" spans="1:8" x14ac:dyDescent="0.25">
      <c r="A11" t="str">
        <v>ORD-003</v>
      </c>
      <c r="B11" t="s">
        <v>82</v>
      </c>
      <c r="C11" t="s">
        <v>26</v>
      </c>
      <c r="D11" t="s">
        <v>40</v>
      </c>
      <c r="E11" s="1">
        <f>([1]production_orders!H4*0.3)*60</f>
        <v>1800</v>
      </c>
      <c r="F11" s="1">
        <f>E11+((E11*1)/100)</f>
        <v>1818</v>
      </c>
      <c r="G11" s="1">
        <f t="shared" si="1"/>
        <v>18</v>
      </c>
      <c r="H11" t="s">
        <v>85</v>
      </c>
    </row>
    <row r="12" spans="1:8" x14ac:dyDescent="0.25">
      <c r="A12" t="str">
        <v>ORD-003</v>
      </c>
      <c r="B12" t="s">
        <v>83</v>
      </c>
      <c r="C12" t="s">
        <v>27</v>
      </c>
      <c r="D12" t="s">
        <v>40</v>
      </c>
      <c r="E12" s="1">
        <f>([1]production_orders!H4*0.35)*60</f>
        <v>2100</v>
      </c>
      <c r="F12" s="1">
        <f t="shared" si="2"/>
        <v>2142</v>
      </c>
      <c r="G12" s="1">
        <f t="shared" si="1"/>
        <v>42</v>
      </c>
      <c r="H12" t="s">
        <v>85</v>
      </c>
    </row>
    <row r="13" spans="1:8" x14ac:dyDescent="0.25">
      <c r="A13" t="str">
        <v>ORD-003</v>
      </c>
      <c r="B13" t="s">
        <v>84</v>
      </c>
      <c r="C13" t="s">
        <v>28</v>
      </c>
      <c r="D13" t="s">
        <v>38</v>
      </c>
      <c r="E13" s="1">
        <f>([1]production_orders!H4*0.15)*60</f>
        <v>900</v>
      </c>
      <c r="F13" s="1">
        <f>E13+((E13*1)/100)</f>
        <v>909</v>
      </c>
      <c r="G13" s="1">
        <f t="shared" si="1"/>
        <v>9</v>
      </c>
      <c r="H13" t="s">
        <v>85</v>
      </c>
    </row>
    <row r="14" spans="1:8" x14ac:dyDescent="0.25">
      <c r="A14" t="str">
        <v>ORD-004</v>
      </c>
      <c r="B14" t="s">
        <v>81</v>
      </c>
      <c r="C14" t="s">
        <v>24</v>
      </c>
      <c r="D14" t="s">
        <v>41</v>
      </c>
      <c r="E14" s="1">
        <f>([1]production_orders!H5*0.2)*60</f>
        <v>2880</v>
      </c>
      <c r="F14" s="1">
        <f>E14+((E14*1)/100)</f>
        <v>2908.8</v>
      </c>
      <c r="G14" s="1">
        <f t="shared" si="1"/>
        <v>28.800000000000182</v>
      </c>
      <c r="H14" t="s">
        <v>85</v>
      </c>
    </row>
    <row r="15" spans="1:8" x14ac:dyDescent="0.25">
      <c r="A15" t="str">
        <v>ORD-004</v>
      </c>
      <c r="B15" t="s">
        <v>82</v>
      </c>
      <c r="C15" t="s">
        <v>25</v>
      </c>
      <c r="D15" t="s">
        <v>36</v>
      </c>
      <c r="E15" s="1">
        <f>([1]production_orders!H5*0.3)*60</f>
        <v>4320</v>
      </c>
      <c r="F15" s="1">
        <f>E15+((E15*1)/100)</f>
        <v>4363.2</v>
      </c>
      <c r="G15" s="1">
        <f t="shared" si="1"/>
        <v>43.199999999999818</v>
      </c>
      <c r="H15" t="s">
        <v>85</v>
      </c>
    </row>
    <row r="16" spans="1:8" x14ac:dyDescent="0.25">
      <c r="A16" t="str">
        <v>ORD-004</v>
      </c>
      <c r="B16" t="s">
        <v>83</v>
      </c>
      <c r="C16" t="s">
        <v>27</v>
      </c>
      <c r="D16" t="s">
        <v>39</v>
      </c>
      <c r="E16" s="1">
        <f>([1]production_orders!H5*0.35)*60</f>
        <v>5040</v>
      </c>
      <c r="F16" s="1">
        <f>E16+((E16*0)/100)</f>
        <v>5040</v>
      </c>
      <c r="G16" s="1">
        <f t="shared" si="1"/>
        <v>0</v>
      </c>
      <c r="H16" t="s">
        <v>85</v>
      </c>
    </row>
    <row r="17" spans="1:8" x14ac:dyDescent="0.25">
      <c r="A17" t="str">
        <v>ORD-004</v>
      </c>
      <c r="B17" t="s">
        <v>84</v>
      </c>
      <c r="C17" t="s">
        <v>28</v>
      </c>
      <c r="D17" t="s">
        <v>40</v>
      </c>
      <c r="E17" s="1">
        <f>([1]production_orders!H5*0.15)*60</f>
        <v>2160</v>
      </c>
      <c r="F17" s="1">
        <f>E17+((E17*0)/100)</f>
        <v>2160</v>
      </c>
      <c r="G17" s="1">
        <f t="shared" si="1"/>
        <v>0</v>
      </c>
      <c r="H17" t="s">
        <v>85</v>
      </c>
    </row>
    <row r="18" spans="1:8" x14ac:dyDescent="0.25">
      <c r="A18" t="str">
        <v>ORD-005</v>
      </c>
      <c r="B18" t="s">
        <v>81</v>
      </c>
      <c r="C18" t="s">
        <v>24</v>
      </c>
      <c r="D18" t="s">
        <v>37</v>
      </c>
      <c r="E18" s="1">
        <f>([1]production_orders!H6*0.2)*60</f>
        <v>2400</v>
      </c>
      <c r="F18" s="1">
        <f>E18+((E18*10)/100)</f>
        <v>2640</v>
      </c>
      <c r="G18" s="1">
        <f t="shared" si="1"/>
        <v>240</v>
      </c>
      <c r="H18" t="s">
        <v>86</v>
      </c>
    </row>
    <row r="19" spans="1:8" x14ac:dyDescent="0.25">
      <c r="A19" t="str">
        <v>ORD-005</v>
      </c>
      <c r="B19" t="s">
        <v>82</v>
      </c>
      <c r="C19" t="s">
        <v>26</v>
      </c>
      <c r="D19" t="s">
        <v>42</v>
      </c>
      <c r="E19" s="1">
        <f>([1]production_orders!H6*0.3)*60</f>
        <v>3600</v>
      </c>
      <c r="F19" s="1">
        <f>E19+((E19*13)/100)</f>
        <v>4068</v>
      </c>
      <c r="G19" s="1">
        <f t="shared" si="1"/>
        <v>468</v>
      </c>
      <c r="H19" t="s">
        <v>86</v>
      </c>
    </row>
    <row r="20" spans="1:8" x14ac:dyDescent="0.25">
      <c r="A20" t="str">
        <v>ORD-005</v>
      </c>
      <c r="B20" t="s">
        <v>83</v>
      </c>
      <c r="C20" t="s">
        <v>27</v>
      </c>
      <c r="D20" t="s">
        <v>42</v>
      </c>
      <c r="E20" s="1">
        <f>([1]production_orders!H6*0.35)*60</f>
        <v>4200</v>
      </c>
      <c r="F20" s="1">
        <f>E20+((E20*3)/100)</f>
        <v>4326</v>
      </c>
      <c r="G20" s="1">
        <f t="shared" si="1"/>
        <v>126</v>
      </c>
      <c r="H20" t="s">
        <v>86</v>
      </c>
    </row>
    <row r="21" spans="1:8" x14ac:dyDescent="0.25">
      <c r="A21" t="str">
        <v>ORD-005</v>
      </c>
      <c r="B21" t="s">
        <v>84</v>
      </c>
      <c r="C21" t="s">
        <v>28</v>
      </c>
      <c r="D21" t="s">
        <v>36</v>
      </c>
      <c r="E21" s="1">
        <f>([1]production_orders!H6*0.15)*60</f>
        <v>1800</v>
      </c>
      <c r="F21" s="1">
        <f>E21+((E21*3)/100)</f>
        <v>1854</v>
      </c>
      <c r="G21" s="1">
        <f t="shared" si="1"/>
        <v>54</v>
      </c>
      <c r="H21" t="s">
        <v>85</v>
      </c>
    </row>
    <row r="22" spans="1:8" x14ac:dyDescent="0.25">
      <c r="A22" t="str">
        <v>ORD-006</v>
      </c>
      <c r="B22" t="s">
        <v>81</v>
      </c>
      <c r="C22" t="s">
        <v>24</v>
      </c>
      <c r="D22" t="s">
        <v>39</v>
      </c>
      <c r="E22" s="1">
        <f>([1]production_orders!H7*0.2)*60</f>
        <v>1920</v>
      </c>
      <c r="F22" s="1">
        <f>E22+((E22*3)/100)</f>
        <v>1977.6</v>
      </c>
      <c r="G22" s="1">
        <f t="shared" si="1"/>
        <v>57.599999999999909</v>
      </c>
      <c r="H22" t="s">
        <v>85</v>
      </c>
    </row>
    <row r="23" spans="1:8" x14ac:dyDescent="0.25">
      <c r="A23" t="str">
        <v>ORD-006</v>
      </c>
      <c r="B23" t="s">
        <v>82</v>
      </c>
      <c r="C23" t="s">
        <v>26</v>
      </c>
      <c r="D23" t="s">
        <v>37</v>
      </c>
      <c r="E23" s="1">
        <f>([1]production_orders!H7*0.3)*60</f>
        <v>2880</v>
      </c>
      <c r="F23" s="1">
        <f>E23+((E23*0)/100)</f>
        <v>2880</v>
      </c>
      <c r="G23" s="1">
        <f t="shared" si="1"/>
        <v>0</v>
      </c>
      <c r="H23" t="s">
        <v>85</v>
      </c>
    </row>
    <row r="24" spans="1:8" x14ac:dyDescent="0.25">
      <c r="A24" t="str">
        <v>ORD-006</v>
      </c>
      <c r="B24" t="s">
        <v>83</v>
      </c>
      <c r="C24" t="s">
        <v>27</v>
      </c>
      <c r="D24" t="s">
        <v>41</v>
      </c>
      <c r="E24" s="1">
        <f>([1]production_orders!H7*0.35)*60</f>
        <v>3360</v>
      </c>
      <c r="F24" s="1">
        <f>E24+((E24*0)/100)</f>
        <v>3360</v>
      </c>
      <c r="G24" s="1">
        <f t="shared" si="1"/>
        <v>0</v>
      </c>
      <c r="H24" t="s">
        <v>85</v>
      </c>
    </row>
    <row r="25" spans="1:8" x14ac:dyDescent="0.25">
      <c r="A25" t="str">
        <v>ORD-006</v>
      </c>
      <c r="B25" t="s">
        <v>84</v>
      </c>
      <c r="C25" t="s">
        <v>28</v>
      </c>
      <c r="D25" t="s">
        <v>37</v>
      </c>
      <c r="E25" s="1">
        <f>([1]production_orders!H7*0.15)*60</f>
        <v>1440</v>
      </c>
      <c r="F25" s="1">
        <f>E25+((E25*0)/100)</f>
        <v>1440</v>
      </c>
      <c r="G25" s="1">
        <f t="shared" si="1"/>
        <v>0</v>
      </c>
      <c r="H25" t="s">
        <v>85</v>
      </c>
    </row>
    <row r="26" spans="1:8" x14ac:dyDescent="0.25">
      <c r="A26" t="str">
        <v>ORD-007</v>
      </c>
      <c r="B26" t="s">
        <v>81</v>
      </c>
      <c r="C26" t="s">
        <v>23</v>
      </c>
      <c r="D26" t="s">
        <v>42</v>
      </c>
      <c r="E26" s="1">
        <f>([1]production_orders!H8*0.2)*60</f>
        <v>1080</v>
      </c>
      <c r="F26" s="1">
        <f>E26+((E26*1)/100)</f>
        <v>1090.8</v>
      </c>
      <c r="G26" s="1">
        <f t="shared" si="1"/>
        <v>10.799999999999955</v>
      </c>
      <c r="H26" t="s">
        <v>85</v>
      </c>
    </row>
    <row r="27" spans="1:8" x14ac:dyDescent="0.25">
      <c r="A27" t="str">
        <v>ORD-007</v>
      </c>
      <c r="B27" t="s">
        <v>82</v>
      </c>
      <c r="C27" t="s">
        <v>26</v>
      </c>
      <c r="D27" t="s">
        <v>38</v>
      </c>
      <c r="E27" s="1">
        <f>([1]production_orders!H8*0.3)*60</f>
        <v>1620</v>
      </c>
      <c r="F27" s="1">
        <f>E27+((E27*1)/100)</f>
        <v>1636.2</v>
      </c>
      <c r="G27" s="1">
        <f t="shared" si="1"/>
        <v>16.200000000000045</v>
      </c>
      <c r="H27" t="s">
        <v>85</v>
      </c>
    </row>
    <row r="28" spans="1:8" x14ac:dyDescent="0.25">
      <c r="A28" t="str">
        <v>ORD-007</v>
      </c>
      <c r="B28" t="s">
        <v>83</v>
      </c>
      <c r="C28" t="s">
        <v>27</v>
      </c>
      <c r="D28" t="s">
        <v>38</v>
      </c>
      <c r="E28" s="1">
        <f>([1]production_orders!H8*0.35)*60</f>
        <v>1889.9999999999998</v>
      </c>
      <c r="F28" s="1">
        <f t="shared" si="2"/>
        <v>1927.7999999999997</v>
      </c>
      <c r="G28" s="1">
        <f t="shared" si="1"/>
        <v>37.799999999999955</v>
      </c>
      <c r="H28" t="s">
        <v>85</v>
      </c>
    </row>
    <row r="29" spans="1:8" x14ac:dyDescent="0.25">
      <c r="A29" t="str">
        <v>ORD-007</v>
      </c>
      <c r="B29" t="s">
        <v>84</v>
      </c>
      <c r="C29" t="s">
        <v>28</v>
      </c>
      <c r="D29" t="s">
        <v>36</v>
      </c>
      <c r="E29" s="1">
        <f>([1]production_orders!H8*0.15)*60</f>
        <v>810</v>
      </c>
      <c r="F29" s="1">
        <f>E29+((E29*1.5)/100)</f>
        <v>822.15</v>
      </c>
      <c r="G29" s="1">
        <f t="shared" si="1"/>
        <v>12.149999999999977</v>
      </c>
      <c r="H29" t="s">
        <v>85</v>
      </c>
    </row>
    <row r="30" spans="1:8" x14ac:dyDescent="0.25">
      <c r="A30" t="str">
        <v>ORD-008</v>
      </c>
      <c r="B30" t="s">
        <v>81</v>
      </c>
      <c r="C30" t="s">
        <v>23</v>
      </c>
      <c r="D30" t="s">
        <v>38</v>
      </c>
      <c r="E30" s="1">
        <f>([1]production_orders!H9*0.2)*60</f>
        <v>1200</v>
      </c>
      <c r="F30" s="1">
        <f>E30+((E30*0)/100)</f>
        <v>1200</v>
      </c>
      <c r="G30" s="1">
        <f t="shared" si="1"/>
        <v>0</v>
      </c>
      <c r="H30" t="s">
        <v>85</v>
      </c>
    </row>
    <row r="31" spans="1:8" x14ac:dyDescent="0.25">
      <c r="A31" t="str">
        <v>ORD-008</v>
      </c>
      <c r="B31" t="s">
        <v>82</v>
      </c>
      <c r="C31" t="s">
        <v>26</v>
      </c>
      <c r="D31" t="s">
        <v>35</v>
      </c>
      <c r="E31" s="1">
        <f>([1]production_orders!H9*0.3)*60</f>
        <v>1800</v>
      </c>
      <c r="F31" s="1">
        <f>E31+((E31*-1)/100)</f>
        <v>1782</v>
      </c>
      <c r="G31" s="1">
        <f t="shared" si="1"/>
        <v>-18</v>
      </c>
      <c r="H31" t="s">
        <v>85</v>
      </c>
    </row>
    <row r="32" spans="1:8" x14ac:dyDescent="0.25">
      <c r="A32" t="str">
        <v>ORD-008</v>
      </c>
      <c r="B32" t="s">
        <v>83</v>
      </c>
      <c r="C32" t="s">
        <v>27</v>
      </c>
      <c r="D32" t="s">
        <v>41</v>
      </c>
      <c r="E32" s="1">
        <f>([1]production_orders!H9*0.35)*60</f>
        <v>2100</v>
      </c>
      <c r="F32" s="1">
        <f>E32+((E32*-2)/100)</f>
        <v>2058</v>
      </c>
      <c r="G32" s="1">
        <f t="shared" si="1"/>
        <v>-42</v>
      </c>
      <c r="H32" t="s">
        <v>85</v>
      </c>
    </row>
    <row r="33" spans="1:8" x14ac:dyDescent="0.25">
      <c r="A33" t="str">
        <v>ORD-008</v>
      </c>
      <c r="B33" t="s">
        <v>84</v>
      </c>
      <c r="C33" t="s">
        <v>28</v>
      </c>
      <c r="D33" t="s">
        <v>36</v>
      </c>
      <c r="E33" s="1">
        <f>([1]production_orders!H9*0.15)*60</f>
        <v>900</v>
      </c>
      <c r="F33" s="1">
        <f>E33+((E33*-2)/100)</f>
        <v>882</v>
      </c>
      <c r="G33" s="1">
        <f t="shared" si="1"/>
        <v>-18</v>
      </c>
      <c r="H33" t="s">
        <v>85</v>
      </c>
    </row>
    <row r="34" spans="1:8" x14ac:dyDescent="0.25">
      <c r="A34" t="str">
        <v>ORD-009</v>
      </c>
      <c r="B34" t="s">
        <v>81</v>
      </c>
      <c r="C34" t="s">
        <v>24</v>
      </c>
      <c r="D34" t="s">
        <v>35</v>
      </c>
      <c r="E34" s="1">
        <f>([1]production_orders!H10*0.2)*60</f>
        <v>2700</v>
      </c>
      <c r="F34" s="1">
        <f>E34+((E34*5)/100)</f>
        <v>2835</v>
      </c>
      <c r="G34" s="1">
        <f t="shared" si="1"/>
        <v>135</v>
      </c>
      <c r="H34" t="s">
        <v>86</v>
      </c>
    </row>
    <row r="35" spans="1:8" x14ac:dyDescent="0.25">
      <c r="A35" t="str">
        <v>ORD-009</v>
      </c>
      <c r="B35" t="s">
        <v>82</v>
      </c>
      <c r="C35" t="s">
        <v>25</v>
      </c>
      <c r="D35" t="s">
        <v>40</v>
      </c>
      <c r="E35" s="1">
        <f>([1]production_orders!H10*0.3)*60</f>
        <v>4050</v>
      </c>
      <c r="F35" s="1">
        <f>E35+((E35*11)/100)</f>
        <v>4495.5</v>
      </c>
      <c r="G35" s="1">
        <f t="shared" si="1"/>
        <v>445.5</v>
      </c>
      <c r="H35" t="s">
        <v>86</v>
      </c>
    </row>
    <row r="36" spans="1:8" x14ac:dyDescent="0.25">
      <c r="A36" t="str">
        <v>ORD-009</v>
      </c>
      <c r="B36" t="s">
        <v>83</v>
      </c>
      <c r="C36" t="s">
        <v>27</v>
      </c>
      <c r="D36" t="s">
        <v>42</v>
      </c>
      <c r="E36" s="1">
        <f>([1]production_orders!H10*0.35)*60</f>
        <v>4725</v>
      </c>
      <c r="F36" s="1">
        <f>E36+((E36*3)/100)</f>
        <v>4866.75</v>
      </c>
      <c r="G36" s="1">
        <f t="shared" si="1"/>
        <v>141.75</v>
      </c>
      <c r="H36" t="s">
        <v>86</v>
      </c>
    </row>
    <row r="37" spans="1:8" x14ac:dyDescent="0.25">
      <c r="A37" t="str">
        <v>ORD-009</v>
      </c>
      <c r="B37" t="s">
        <v>84</v>
      </c>
      <c r="C37" t="s">
        <v>28</v>
      </c>
      <c r="D37" t="s">
        <v>42</v>
      </c>
      <c r="E37" s="1">
        <f>([1]production_orders!H10*0.15)*60</f>
        <v>2025</v>
      </c>
      <c r="F37" s="1">
        <f>E37+((E37*3)/100)</f>
        <v>2085.75</v>
      </c>
      <c r="G37" s="1">
        <f t="shared" si="1"/>
        <v>60.75</v>
      </c>
      <c r="H37" t="s">
        <v>86</v>
      </c>
    </row>
    <row r="38" spans="1:8" x14ac:dyDescent="0.25">
      <c r="A38" t="str">
        <v>ORD-010</v>
      </c>
      <c r="B38" t="s">
        <v>81</v>
      </c>
      <c r="C38" t="s">
        <v>24</v>
      </c>
      <c r="D38" t="s">
        <v>37</v>
      </c>
      <c r="E38" s="1">
        <f>([1]production_orders!H11*0.2)*60</f>
        <v>2100</v>
      </c>
      <c r="F38" s="1">
        <f>E38+((E38*2)/100)</f>
        <v>2142</v>
      </c>
      <c r="G38" s="1">
        <f t="shared" si="1"/>
        <v>42</v>
      </c>
      <c r="H38" t="s">
        <v>85</v>
      </c>
    </row>
    <row r="39" spans="1:8" x14ac:dyDescent="0.25">
      <c r="A39" t="str">
        <v>ORD-010</v>
      </c>
      <c r="B39" t="s">
        <v>82</v>
      </c>
      <c r="C39" t="s">
        <v>26</v>
      </c>
      <c r="D39" t="s">
        <v>37</v>
      </c>
      <c r="E39" s="1">
        <f>([1]production_orders!H11*0.3)*60</f>
        <v>3150</v>
      </c>
      <c r="F39" s="1">
        <f>E39+((E39*-5)/100)</f>
        <v>2992.5</v>
      </c>
      <c r="G39" s="1">
        <f t="shared" si="1"/>
        <v>-157.5</v>
      </c>
      <c r="H39" t="s">
        <v>85</v>
      </c>
    </row>
    <row r="40" spans="1:8" x14ac:dyDescent="0.25">
      <c r="A40" t="str">
        <v>ORD-010</v>
      </c>
      <c r="B40" t="s">
        <v>83</v>
      </c>
      <c r="C40" t="s">
        <v>27</v>
      </c>
      <c r="D40" t="s">
        <v>39</v>
      </c>
      <c r="E40" s="1">
        <f>([1]production_orders!H11*0.35)*60</f>
        <v>3674.9999999999995</v>
      </c>
      <c r="F40" s="1">
        <f>E40+((E40*-2)/100)</f>
        <v>3601.4999999999995</v>
      </c>
      <c r="G40" s="1">
        <f t="shared" si="1"/>
        <v>-73.5</v>
      </c>
      <c r="H40" t="s">
        <v>85</v>
      </c>
    </row>
    <row r="41" spans="1:8" x14ac:dyDescent="0.25">
      <c r="A41" t="str">
        <v>ORD-010</v>
      </c>
      <c r="B41" t="s">
        <v>84</v>
      </c>
      <c r="C41" t="s">
        <v>28</v>
      </c>
      <c r="D41" t="s">
        <v>42</v>
      </c>
      <c r="E41" s="1">
        <f>([1]production_orders!H11*0.15)*60</f>
        <v>1575</v>
      </c>
      <c r="F41" s="1">
        <f>E41+((E41*0)/100)</f>
        <v>1575</v>
      </c>
      <c r="G41" s="1">
        <f t="shared" si="1"/>
        <v>0</v>
      </c>
      <c r="H41" t="s">
        <v>85</v>
      </c>
    </row>
    <row r="42" spans="1:8" x14ac:dyDescent="0.25">
      <c r="A42" t="str">
        <v>ORD-011</v>
      </c>
      <c r="B42" t="s">
        <v>81</v>
      </c>
      <c r="C42" t="s">
        <v>24</v>
      </c>
      <c r="D42" t="s">
        <v>42</v>
      </c>
      <c r="E42" s="1">
        <f>([1]production_orders!H12*0.2)*60</f>
        <v>1920</v>
      </c>
      <c r="F42" s="1">
        <f>E42+((E42*-2)/100)</f>
        <v>1881.6</v>
      </c>
      <c r="G42" s="1">
        <f t="shared" si="1"/>
        <v>-38.400000000000091</v>
      </c>
      <c r="H42" t="s">
        <v>85</v>
      </c>
    </row>
    <row r="43" spans="1:8" x14ac:dyDescent="0.25">
      <c r="A43" t="str">
        <v>ORD-011</v>
      </c>
      <c r="B43" t="s">
        <v>82</v>
      </c>
      <c r="C43" t="s">
        <v>25</v>
      </c>
      <c r="D43" t="s">
        <v>41</v>
      </c>
      <c r="E43" s="1">
        <f>([1]production_orders!H12*0.3)*60</f>
        <v>2880</v>
      </c>
      <c r="F43" s="1">
        <f>E43+((E43*3)/100)</f>
        <v>2966.4</v>
      </c>
      <c r="G43" s="1">
        <f t="shared" si="1"/>
        <v>86.400000000000091</v>
      </c>
      <c r="H43" t="s">
        <v>86</v>
      </c>
    </row>
    <row r="44" spans="1:8" x14ac:dyDescent="0.25">
      <c r="A44" t="str">
        <v>ORD-011</v>
      </c>
      <c r="B44" t="s">
        <v>83</v>
      </c>
      <c r="C44" t="s">
        <v>27</v>
      </c>
      <c r="D44" t="s">
        <v>38</v>
      </c>
      <c r="E44" s="1">
        <f>([1]production_orders!H12*0.35)*60</f>
        <v>3360</v>
      </c>
      <c r="F44" s="1">
        <f>E44+((E44*0.5)/100)</f>
        <v>3376.8</v>
      </c>
      <c r="G44" s="1">
        <f t="shared" si="1"/>
        <v>16.800000000000182</v>
      </c>
      <c r="H44" t="s">
        <v>85</v>
      </c>
    </row>
    <row r="45" spans="1:8" x14ac:dyDescent="0.25">
      <c r="A45" t="str">
        <v>ORD-011</v>
      </c>
      <c r="B45" t="s">
        <v>84</v>
      </c>
      <c r="C45" t="s">
        <v>28</v>
      </c>
      <c r="D45" t="s">
        <v>40</v>
      </c>
      <c r="E45" s="1">
        <f>([1]production_orders!H12*0.15)*60</f>
        <v>1440</v>
      </c>
      <c r="F45" s="1">
        <f>E45+((E45*0)/100)</f>
        <v>1440</v>
      </c>
      <c r="G45" s="1">
        <f t="shared" si="1"/>
        <v>0</v>
      </c>
      <c r="H45" t="s">
        <v>85</v>
      </c>
    </row>
    <row r="46" spans="1:8" x14ac:dyDescent="0.25">
      <c r="A46" t="str">
        <v>ORD-012</v>
      </c>
      <c r="B46" t="s">
        <v>81</v>
      </c>
      <c r="C46" t="s">
        <v>24</v>
      </c>
      <c r="D46" t="s">
        <v>41</v>
      </c>
      <c r="E46" s="1">
        <f>([1]production_orders!H13*0.2)*60</f>
        <v>4320</v>
      </c>
      <c r="F46" s="1">
        <f>E46+((E46*7)/100)</f>
        <v>4622.3999999999996</v>
      </c>
      <c r="G46" s="1">
        <f t="shared" si="1"/>
        <v>302.39999999999964</v>
      </c>
      <c r="H46" t="s">
        <v>86</v>
      </c>
    </row>
    <row r="47" spans="1:8" x14ac:dyDescent="0.25">
      <c r="A47" t="str">
        <v>ORD-012</v>
      </c>
      <c r="B47" t="s">
        <v>82</v>
      </c>
      <c r="C47" t="s">
        <v>26</v>
      </c>
      <c r="D47" t="s">
        <v>41</v>
      </c>
      <c r="E47" s="1">
        <f>([1]production_orders!H13*0.3)*60</f>
        <v>6480</v>
      </c>
      <c r="F47" s="1">
        <f>E47+((E47*12)/100)</f>
        <v>7257.6</v>
      </c>
      <c r="G47" s="1">
        <f t="shared" si="1"/>
        <v>777.60000000000036</v>
      </c>
      <c r="H47" t="s">
        <v>86</v>
      </c>
    </row>
    <row r="48" spans="1:8" x14ac:dyDescent="0.25">
      <c r="A48" t="str">
        <v>ORD-012</v>
      </c>
      <c r="B48" t="s">
        <v>83</v>
      </c>
      <c r="C48" t="s">
        <v>27</v>
      </c>
      <c r="D48" t="s">
        <v>38</v>
      </c>
      <c r="E48" s="1">
        <f>([1]production_orders!H13*0.35)*60</f>
        <v>7559.9999999999991</v>
      </c>
      <c r="F48" s="1">
        <f>E48+((E48*5)/100)</f>
        <v>7937.9999999999991</v>
      </c>
      <c r="G48" s="1">
        <f t="shared" si="1"/>
        <v>378</v>
      </c>
      <c r="H48" t="s">
        <v>86</v>
      </c>
    </row>
    <row r="49" spans="1:8" x14ac:dyDescent="0.25">
      <c r="A49" t="str">
        <v>ORD-012</v>
      </c>
      <c r="B49" t="s">
        <v>84</v>
      </c>
      <c r="C49" t="s">
        <v>28</v>
      </c>
      <c r="D49" t="s">
        <v>36</v>
      </c>
      <c r="E49" s="1">
        <f>([1]production_orders!H13*0.15)*60</f>
        <v>3240</v>
      </c>
      <c r="F49" s="1">
        <f>E49+((E49*3)/100)</f>
        <v>3337.2</v>
      </c>
      <c r="G49" s="1">
        <f t="shared" si="1"/>
        <v>97.199999999999818</v>
      </c>
      <c r="H49" t="s">
        <v>86</v>
      </c>
    </row>
    <row r="50" spans="1:8" x14ac:dyDescent="0.25">
      <c r="A50" t="str">
        <v>ORD-013</v>
      </c>
      <c r="B50" t="s">
        <v>81</v>
      </c>
      <c r="C50" t="s">
        <v>24</v>
      </c>
      <c r="D50" t="s">
        <v>38</v>
      </c>
      <c r="E50" s="1">
        <f>([1]production_orders!H14*0.2)*60</f>
        <v>900</v>
      </c>
      <c r="F50" s="1">
        <f>E50+((E50*2)/100)</f>
        <v>918</v>
      </c>
      <c r="G50" s="1">
        <f t="shared" si="1"/>
        <v>18</v>
      </c>
      <c r="H50" t="s">
        <v>85</v>
      </c>
    </row>
    <row r="51" spans="1:8" x14ac:dyDescent="0.25">
      <c r="A51" t="str">
        <v>ORD-013</v>
      </c>
      <c r="B51" t="s">
        <v>82</v>
      </c>
      <c r="C51" t="s">
        <v>26</v>
      </c>
      <c r="D51" t="s">
        <v>38</v>
      </c>
      <c r="E51" s="1">
        <f>([1]production_orders!H14*0.3)*60</f>
        <v>1350</v>
      </c>
      <c r="F51" s="1">
        <f>E51+((E51*1)/100)</f>
        <v>1363.5</v>
      </c>
      <c r="G51" s="1">
        <f t="shared" si="1"/>
        <v>13.5</v>
      </c>
      <c r="H51" t="s">
        <v>85</v>
      </c>
    </row>
    <row r="52" spans="1:8" x14ac:dyDescent="0.25">
      <c r="A52" t="str">
        <v>ORD-013</v>
      </c>
      <c r="B52" t="s">
        <v>83</v>
      </c>
      <c r="C52" t="s">
        <v>27</v>
      </c>
      <c r="D52" t="s">
        <v>39</v>
      </c>
      <c r="E52" s="1">
        <f>([1]production_orders!H14*0.35)*60</f>
        <v>1575</v>
      </c>
      <c r="F52" s="1">
        <f>E52+((E52*-2)/100)</f>
        <v>1543.5</v>
      </c>
      <c r="G52" s="1">
        <f t="shared" si="1"/>
        <v>-31.5</v>
      </c>
      <c r="H52" t="s">
        <v>85</v>
      </c>
    </row>
    <row r="53" spans="1:8" x14ac:dyDescent="0.25">
      <c r="A53" t="str">
        <v>ORD-013</v>
      </c>
      <c r="B53" t="s">
        <v>84</v>
      </c>
      <c r="C53" t="s">
        <v>28</v>
      </c>
      <c r="D53" t="s">
        <v>41</v>
      </c>
      <c r="E53" s="1">
        <f>([1]production_orders!H14*0.15)*60</f>
        <v>675</v>
      </c>
      <c r="F53" s="1">
        <f>E53+((E53*-1.5)/100)</f>
        <v>664.875</v>
      </c>
      <c r="G53" s="1">
        <f t="shared" si="1"/>
        <v>-10.125</v>
      </c>
      <c r="H53" t="s">
        <v>85</v>
      </c>
    </row>
    <row r="54" spans="1:8" x14ac:dyDescent="0.25">
      <c r="A54" t="str">
        <v>ORD-014</v>
      </c>
      <c r="B54" t="s">
        <v>81</v>
      </c>
      <c r="C54" t="s">
        <v>24</v>
      </c>
      <c r="D54" t="s">
        <v>40</v>
      </c>
      <c r="E54" s="1">
        <f>([1]production_orders!H15*0.2)*60</f>
        <v>960</v>
      </c>
      <c r="F54" s="1">
        <f>E54+((E54*4)/100)</f>
        <v>998.4</v>
      </c>
      <c r="G54" s="1">
        <f t="shared" si="1"/>
        <v>38.399999999999977</v>
      </c>
      <c r="H54" t="s">
        <v>85</v>
      </c>
    </row>
    <row r="55" spans="1:8" x14ac:dyDescent="0.25">
      <c r="A55" t="str">
        <v>ORD-014</v>
      </c>
      <c r="B55" t="s">
        <v>82</v>
      </c>
      <c r="C55" t="s">
        <v>26</v>
      </c>
      <c r="D55" t="s">
        <v>42</v>
      </c>
      <c r="E55" s="1">
        <f>([1]production_orders!H15*0.3)*60</f>
        <v>1440</v>
      </c>
      <c r="F55" s="1">
        <f>E55+((E55*-2)/100)</f>
        <v>1411.2</v>
      </c>
      <c r="G55" s="1">
        <f t="shared" si="1"/>
        <v>-28.799999999999955</v>
      </c>
      <c r="H55" t="s">
        <v>85</v>
      </c>
    </row>
    <row r="56" spans="1:8" x14ac:dyDescent="0.25">
      <c r="A56" t="str">
        <v>ORD-014</v>
      </c>
      <c r="B56" t="s">
        <v>83</v>
      </c>
      <c r="C56" t="s">
        <v>27</v>
      </c>
      <c r="D56" t="s">
        <v>35</v>
      </c>
      <c r="E56" s="1">
        <f>([1]production_orders!H15*0.35)*60</f>
        <v>1680</v>
      </c>
      <c r="F56" s="1">
        <f>E56+((E56*-1)/100)</f>
        <v>1663.2</v>
      </c>
      <c r="G56" s="1">
        <f t="shared" si="1"/>
        <v>-16.799999999999955</v>
      </c>
      <c r="H56" t="s">
        <v>85</v>
      </c>
    </row>
    <row r="57" spans="1:8" x14ac:dyDescent="0.25">
      <c r="A57" t="str">
        <v>ORD-014</v>
      </c>
      <c r="B57" t="s">
        <v>84</v>
      </c>
      <c r="C57" t="s">
        <v>28</v>
      </c>
      <c r="D57" t="s">
        <v>42</v>
      </c>
      <c r="E57" s="1">
        <f>([1]production_orders!H15*0.15)*60</f>
        <v>720</v>
      </c>
      <c r="F57" s="1">
        <f>E57+((E57*-1.5)/100)</f>
        <v>709.2</v>
      </c>
      <c r="G57" s="1">
        <f t="shared" si="1"/>
        <v>-10.799999999999955</v>
      </c>
      <c r="H57" t="s">
        <v>85</v>
      </c>
    </row>
    <row r="58" spans="1:8" x14ac:dyDescent="0.25">
      <c r="A58" t="str">
        <v>ORD-015</v>
      </c>
      <c r="B58" t="s">
        <v>81</v>
      </c>
      <c r="C58" t="s">
        <v>24</v>
      </c>
      <c r="D58" t="s">
        <v>40</v>
      </c>
      <c r="E58" s="1">
        <f>([1]production_orders!H16*0.2)*60</f>
        <v>1440</v>
      </c>
      <c r="F58" s="1">
        <f>E58+((E58*0)/100)</f>
        <v>1440</v>
      </c>
      <c r="G58" s="1">
        <f t="shared" si="1"/>
        <v>0</v>
      </c>
      <c r="H58" t="s">
        <v>85</v>
      </c>
    </row>
    <row r="59" spans="1:8" x14ac:dyDescent="0.25">
      <c r="A59" t="str">
        <v>ORD-015</v>
      </c>
      <c r="B59" t="s">
        <v>82</v>
      </c>
      <c r="C59" t="s">
        <v>26</v>
      </c>
      <c r="D59" t="s">
        <v>38</v>
      </c>
      <c r="E59" s="1">
        <f>([1]production_orders!H16*0.3)*60</f>
        <v>2160</v>
      </c>
      <c r="F59" s="1">
        <f>E59+((E59*8)/100)</f>
        <v>2332.8000000000002</v>
      </c>
      <c r="G59" s="1">
        <f t="shared" si="1"/>
        <v>172.80000000000018</v>
      </c>
      <c r="H59" t="s">
        <v>86</v>
      </c>
    </row>
    <row r="60" spans="1:8" x14ac:dyDescent="0.25">
      <c r="A60" t="str">
        <v>ORD-015</v>
      </c>
      <c r="B60" t="s">
        <v>83</v>
      </c>
      <c r="C60" t="s">
        <v>27</v>
      </c>
      <c r="D60" t="s">
        <v>36</v>
      </c>
      <c r="E60" s="1">
        <f>([1]production_orders!H16*0.35)*60</f>
        <v>2520</v>
      </c>
      <c r="F60" s="1">
        <f>E60+((E60*4)/100)</f>
        <v>2620.8000000000002</v>
      </c>
      <c r="G60" s="1">
        <f t="shared" si="1"/>
        <v>100.80000000000018</v>
      </c>
      <c r="H60" t="s">
        <v>86</v>
      </c>
    </row>
    <row r="61" spans="1:8" x14ac:dyDescent="0.25">
      <c r="A61" t="str">
        <v>ORD-015</v>
      </c>
      <c r="B61" t="s">
        <v>84</v>
      </c>
      <c r="C61" t="s">
        <v>28</v>
      </c>
      <c r="D61" t="s">
        <v>39</v>
      </c>
      <c r="E61" s="1">
        <f>([1]production_orders!H16*0.15)*60</f>
        <v>1080</v>
      </c>
      <c r="F61" s="1">
        <f>E61+((E61*2)/100)</f>
        <v>1101.5999999999999</v>
      </c>
      <c r="G61" s="1">
        <f t="shared" si="1"/>
        <v>21.599999999999909</v>
      </c>
      <c r="H61" t="s">
        <v>85</v>
      </c>
    </row>
    <row r="62" spans="1:8" x14ac:dyDescent="0.25">
      <c r="A62" t="str">
        <v>ORD-016</v>
      </c>
      <c r="B62" t="s">
        <v>81</v>
      </c>
      <c r="C62" t="s">
        <v>24</v>
      </c>
      <c r="D62" t="s">
        <v>39</v>
      </c>
      <c r="E62" s="1">
        <f>([1]production_orders!H17*0.2)*60</f>
        <v>2100</v>
      </c>
      <c r="F62" s="1">
        <f>E62+((E62*-2)/100)</f>
        <v>2058</v>
      </c>
      <c r="G62" s="1">
        <f t="shared" si="1"/>
        <v>-42</v>
      </c>
      <c r="H62" t="s">
        <v>85</v>
      </c>
    </row>
    <row r="63" spans="1:8" x14ac:dyDescent="0.25">
      <c r="A63" t="str">
        <v>ORD-016</v>
      </c>
      <c r="B63" t="s">
        <v>82</v>
      </c>
      <c r="C63" t="s">
        <v>25</v>
      </c>
      <c r="D63" t="s">
        <v>38</v>
      </c>
      <c r="E63" s="1">
        <f>([1]production_orders!H17*0.3)*60</f>
        <v>3150</v>
      </c>
      <c r="F63" s="1">
        <f>E63+((E63*4)/100)</f>
        <v>3276</v>
      </c>
      <c r="G63" s="1">
        <f t="shared" si="1"/>
        <v>126</v>
      </c>
      <c r="H63" t="s">
        <v>86</v>
      </c>
    </row>
    <row r="64" spans="1:8" x14ac:dyDescent="0.25">
      <c r="A64" t="str">
        <v>ORD-016</v>
      </c>
      <c r="B64" t="s">
        <v>83</v>
      </c>
      <c r="C64" t="s">
        <v>27</v>
      </c>
      <c r="D64" t="s">
        <v>35</v>
      </c>
      <c r="E64" s="1">
        <f>([1]production_orders!H17*0.35)*60</f>
        <v>3674.9999999999995</v>
      </c>
      <c r="F64" s="1">
        <f>E64+((E64*2)/100)</f>
        <v>3748.4999999999995</v>
      </c>
      <c r="G64" s="1">
        <f t="shared" si="1"/>
        <v>73.5</v>
      </c>
      <c r="H64" t="s">
        <v>86</v>
      </c>
    </row>
    <row r="65" spans="1:8" x14ac:dyDescent="0.25">
      <c r="A65" t="str">
        <v>ORD-016</v>
      </c>
      <c r="B65" t="s">
        <v>84</v>
      </c>
      <c r="C65" t="s">
        <v>28</v>
      </c>
      <c r="D65" t="s">
        <v>41</v>
      </c>
      <c r="E65" s="1">
        <f>([1]production_orders!H17*0.15)*60</f>
        <v>1575</v>
      </c>
      <c r="F65" s="1">
        <f>E65+((E65*0)/100)</f>
        <v>1575</v>
      </c>
      <c r="G65" s="1">
        <f t="shared" si="1"/>
        <v>0</v>
      </c>
      <c r="H65" t="s">
        <v>85</v>
      </c>
    </row>
    <row r="66" spans="1:8" x14ac:dyDescent="0.25">
      <c r="A66" t="str">
        <v>ORD-017</v>
      </c>
      <c r="B66" t="s">
        <v>81</v>
      </c>
      <c r="C66" t="s">
        <v>24</v>
      </c>
      <c r="D66" t="s">
        <v>35</v>
      </c>
      <c r="E66" s="1">
        <f>([1]production_orders!H18*0.2)*60</f>
        <v>1728</v>
      </c>
      <c r="F66" s="1">
        <f>E66+((E66*-2)/100)</f>
        <v>1693.44</v>
      </c>
      <c r="G66" s="1">
        <f t="shared" si="1"/>
        <v>-34.559999999999945</v>
      </c>
      <c r="H66" t="s">
        <v>85</v>
      </c>
    </row>
    <row r="67" spans="1:8" x14ac:dyDescent="0.25">
      <c r="A67" t="str">
        <v>ORD-017</v>
      </c>
      <c r="B67" t="s">
        <v>82</v>
      </c>
      <c r="C67" t="s">
        <v>25</v>
      </c>
      <c r="D67" t="s">
        <v>41</v>
      </c>
      <c r="E67" s="1">
        <f>([1]production_orders!H18*0.3)*60</f>
        <v>2591.9999999999995</v>
      </c>
      <c r="F67" s="1">
        <f>E67+((E67*4)/100)</f>
        <v>2695.6799999999994</v>
      </c>
      <c r="G67" s="1">
        <f t="shared" si="1"/>
        <v>103.67999999999984</v>
      </c>
      <c r="H67" t="s">
        <v>86</v>
      </c>
    </row>
    <row r="68" spans="1:8" x14ac:dyDescent="0.25">
      <c r="A68" t="str">
        <v>ORD-017</v>
      </c>
      <c r="B68" t="s">
        <v>83</v>
      </c>
      <c r="C68" t="s">
        <v>27</v>
      </c>
      <c r="D68" t="s">
        <v>37</v>
      </c>
      <c r="E68" s="1">
        <f>([1]production_orders!H18*0.35)*60</f>
        <v>3024</v>
      </c>
      <c r="F68" s="1">
        <f t="shared" si="2"/>
        <v>3084.48</v>
      </c>
      <c r="G68" s="1">
        <f t="shared" si="1"/>
        <v>60.480000000000018</v>
      </c>
      <c r="H68" t="s">
        <v>86</v>
      </c>
    </row>
    <row r="69" spans="1:8" x14ac:dyDescent="0.25">
      <c r="A69" t="str">
        <v>ORD-017</v>
      </c>
      <c r="B69" t="s">
        <v>84</v>
      </c>
      <c r="C69" t="s">
        <v>28</v>
      </c>
      <c r="D69" t="s">
        <v>36</v>
      </c>
      <c r="E69" s="1">
        <f>([1]production_orders!H18*0.15)*60</f>
        <v>1295.9999999999998</v>
      </c>
      <c r="F69" s="1">
        <f>E69+((E69*-3)/100)</f>
        <v>1257.1199999999999</v>
      </c>
      <c r="G69" s="1">
        <f t="shared" si="1"/>
        <v>-38.879999999999882</v>
      </c>
      <c r="H69" t="s">
        <v>85</v>
      </c>
    </row>
    <row r="70" spans="1:8" x14ac:dyDescent="0.25">
      <c r="A70" t="str">
        <v>ORD-018</v>
      </c>
      <c r="B70" t="s">
        <v>81</v>
      </c>
      <c r="C70" t="s">
        <v>26</v>
      </c>
      <c r="D70" t="s">
        <v>35</v>
      </c>
      <c r="E70" s="1">
        <f>([1]production_orders!H19*0.2)*60</f>
        <v>480</v>
      </c>
      <c r="F70" s="1">
        <f>E70+((E70*2)/100)</f>
        <v>489.6</v>
      </c>
      <c r="G70" s="1">
        <f t="shared" ref="G70:G121" si="3">F70-E70</f>
        <v>9.6000000000000227</v>
      </c>
      <c r="H70" t="s">
        <v>85</v>
      </c>
    </row>
    <row r="71" spans="1:8" x14ac:dyDescent="0.25">
      <c r="A71" t="str">
        <v>ORD-018</v>
      </c>
      <c r="B71" t="s">
        <v>82</v>
      </c>
      <c r="C71" t="s">
        <v>26</v>
      </c>
      <c r="D71" t="s">
        <v>40</v>
      </c>
      <c r="E71" s="1">
        <f>([1]production_orders!H19*0.3)*60</f>
        <v>720</v>
      </c>
      <c r="F71" s="1">
        <f>E71+((E71*12)/100)</f>
        <v>806.4</v>
      </c>
      <c r="G71" s="1">
        <f t="shared" si="3"/>
        <v>86.399999999999977</v>
      </c>
      <c r="H71" t="s">
        <v>86</v>
      </c>
    </row>
    <row r="72" spans="1:8" x14ac:dyDescent="0.25">
      <c r="A72" t="str">
        <v>ORD-018</v>
      </c>
      <c r="B72" t="s">
        <v>83</v>
      </c>
      <c r="C72" t="s">
        <v>27</v>
      </c>
      <c r="D72" t="s">
        <v>36</v>
      </c>
      <c r="E72" s="1">
        <f>([1]production_orders!H19*0.35)*60</f>
        <v>840</v>
      </c>
      <c r="F72" s="1">
        <f>E72+((E72*8)/100)</f>
        <v>907.2</v>
      </c>
      <c r="G72" s="1">
        <f t="shared" si="3"/>
        <v>67.200000000000045</v>
      </c>
      <c r="H72" t="s">
        <v>86</v>
      </c>
    </row>
    <row r="73" spans="1:8" x14ac:dyDescent="0.25">
      <c r="A73" t="str">
        <v>ORD-018</v>
      </c>
      <c r="B73" t="s">
        <v>84</v>
      </c>
      <c r="C73" t="s">
        <v>28</v>
      </c>
      <c r="D73" t="s">
        <v>37</v>
      </c>
      <c r="E73" s="1">
        <f>([1]production_orders!H19*0.15)*60</f>
        <v>360</v>
      </c>
      <c r="F73" s="1">
        <f>E73+((E73*2)/100)</f>
        <v>367.2</v>
      </c>
      <c r="G73" s="1">
        <f t="shared" si="3"/>
        <v>7.1999999999999886</v>
      </c>
      <c r="H73" t="s">
        <v>85</v>
      </c>
    </row>
    <row r="74" spans="1:8" x14ac:dyDescent="0.25">
      <c r="A74" t="str">
        <v>ORD-019</v>
      </c>
      <c r="B74" t="s">
        <v>81</v>
      </c>
      <c r="C74" t="s">
        <v>24</v>
      </c>
      <c r="D74" t="s">
        <v>36</v>
      </c>
      <c r="E74" s="1">
        <f>([1]production_orders!H20*0.2)*60</f>
        <v>4320</v>
      </c>
      <c r="F74" s="1">
        <f>E74+((E74*1)/100)</f>
        <v>4363.2</v>
      </c>
      <c r="G74" s="1">
        <f t="shared" si="3"/>
        <v>43.199999999999818</v>
      </c>
      <c r="H74" t="s">
        <v>85</v>
      </c>
    </row>
    <row r="75" spans="1:8" x14ac:dyDescent="0.25">
      <c r="A75" t="str">
        <v>ORD-019</v>
      </c>
      <c r="B75" t="s">
        <v>82</v>
      </c>
      <c r="C75" t="s">
        <v>25</v>
      </c>
      <c r="D75" t="s">
        <v>38</v>
      </c>
      <c r="E75" s="1">
        <f>([1]production_orders!H20*0.3)*60</f>
        <v>6480</v>
      </c>
      <c r="F75" s="1">
        <f>E75+((E75*1)/100)</f>
        <v>6544.8</v>
      </c>
      <c r="G75" s="1">
        <f t="shared" si="3"/>
        <v>64.800000000000182</v>
      </c>
      <c r="H75" t="s">
        <v>86</v>
      </c>
    </row>
    <row r="76" spans="1:8" x14ac:dyDescent="0.25">
      <c r="A76" t="str">
        <v>ORD-019</v>
      </c>
      <c r="B76" t="s">
        <v>83</v>
      </c>
      <c r="C76" t="s">
        <v>27</v>
      </c>
      <c r="D76" t="s">
        <v>36</v>
      </c>
      <c r="E76" s="1">
        <f>([1]production_orders!H20*0.35)*60</f>
        <v>7559.9999999999991</v>
      </c>
      <c r="F76" s="1">
        <f>E76+((E76*-3)/100)</f>
        <v>7333.1999999999989</v>
      </c>
      <c r="G76" s="1">
        <f t="shared" si="3"/>
        <v>-226.80000000000018</v>
      </c>
      <c r="H76" t="s">
        <v>85</v>
      </c>
    </row>
    <row r="77" spans="1:8" x14ac:dyDescent="0.25">
      <c r="A77" t="str">
        <v>ORD-019</v>
      </c>
      <c r="B77" t="s">
        <v>84</v>
      </c>
      <c r="C77" t="s">
        <v>28</v>
      </c>
      <c r="D77" t="s">
        <v>40</v>
      </c>
      <c r="E77" s="1">
        <f>([1]production_orders!H20*0.15)*60</f>
        <v>3240</v>
      </c>
      <c r="F77" s="1">
        <f>E77+((E77*0.6)/100)</f>
        <v>3259.44</v>
      </c>
      <c r="G77" s="1">
        <f t="shared" si="3"/>
        <v>19.440000000000055</v>
      </c>
      <c r="H77" t="s">
        <v>85</v>
      </c>
    </row>
    <row r="78" spans="1:8" x14ac:dyDescent="0.25">
      <c r="A78" t="str">
        <v>ORD-020</v>
      </c>
      <c r="B78" t="s">
        <v>81</v>
      </c>
      <c r="C78" t="s">
        <v>26</v>
      </c>
      <c r="D78" t="s">
        <v>39</v>
      </c>
      <c r="E78" s="1">
        <f>([1]production_orders!H21*0.2)*60</f>
        <v>240</v>
      </c>
      <c r="F78" s="1">
        <f>E78+((E78*6)/100)</f>
        <v>254.4</v>
      </c>
      <c r="G78" s="1">
        <f t="shared" si="3"/>
        <v>14.400000000000006</v>
      </c>
      <c r="H78" t="s">
        <v>85</v>
      </c>
    </row>
    <row r="79" spans="1:8" x14ac:dyDescent="0.25">
      <c r="A79" t="str">
        <v>ORD-020</v>
      </c>
      <c r="B79" t="s">
        <v>82</v>
      </c>
      <c r="C79" t="s">
        <v>25</v>
      </c>
      <c r="D79" t="s">
        <v>37</v>
      </c>
      <c r="E79" s="1">
        <f>([1]production_orders!H21*0.3)*60</f>
        <v>360</v>
      </c>
      <c r="F79" s="1">
        <f>E79+((E79*3)/100)</f>
        <v>370.8</v>
      </c>
      <c r="G79" s="1">
        <f t="shared" si="3"/>
        <v>10.800000000000011</v>
      </c>
      <c r="H79" t="s">
        <v>85</v>
      </c>
    </row>
    <row r="80" spans="1:8" x14ac:dyDescent="0.25">
      <c r="A80" t="str">
        <v>ORD-020</v>
      </c>
      <c r="B80" t="s">
        <v>83</v>
      </c>
      <c r="C80" t="s">
        <v>27</v>
      </c>
      <c r="D80" t="s">
        <v>41</v>
      </c>
      <c r="E80" s="1">
        <f>([1]production_orders!H21*0.35)*60</f>
        <v>420</v>
      </c>
      <c r="F80" s="1">
        <f>E80+((E80*3)/100)</f>
        <v>432.6</v>
      </c>
      <c r="G80" s="1">
        <f t="shared" si="3"/>
        <v>12.600000000000023</v>
      </c>
      <c r="H80" t="s">
        <v>85</v>
      </c>
    </row>
    <row r="81" spans="1:8" x14ac:dyDescent="0.25">
      <c r="A81" t="str">
        <v>ORD-020</v>
      </c>
      <c r="B81" t="s">
        <v>84</v>
      </c>
      <c r="C81" t="s">
        <v>28</v>
      </c>
      <c r="D81" t="s">
        <v>40</v>
      </c>
      <c r="E81" s="1">
        <f>([1]production_orders!H21*0.15)*60</f>
        <v>180</v>
      </c>
      <c r="F81" s="1">
        <f t="shared" ref="F81:F121" si="4">E81+((E81*2)/100)</f>
        <v>183.6</v>
      </c>
      <c r="G81" s="1">
        <f t="shared" si="3"/>
        <v>3.5999999999999943</v>
      </c>
      <c r="H81" t="s">
        <v>85</v>
      </c>
    </row>
    <row r="82" spans="1:8" x14ac:dyDescent="0.25">
      <c r="A82" t="str">
        <v>ORD-021</v>
      </c>
      <c r="B82" t="s">
        <v>81</v>
      </c>
      <c r="C82" t="s">
        <v>24</v>
      </c>
      <c r="D82" t="s">
        <v>39</v>
      </c>
      <c r="E82" s="1">
        <f>([1]production_orders!H22*0.2)*60</f>
        <v>3000</v>
      </c>
      <c r="F82" s="1">
        <f>E82+((E82*5)/100)</f>
        <v>3150</v>
      </c>
      <c r="G82" s="1">
        <f t="shared" si="3"/>
        <v>150</v>
      </c>
      <c r="H82" t="s">
        <v>86</v>
      </c>
    </row>
    <row r="83" spans="1:8" x14ac:dyDescent="0.25">
      <c r="A83" t="str">
        <v>ORD-021</v>
      </c>
      <c r="B83" t="s">
        <v>82</v>
      </c>
      <c r="C83" t="s">
        <v>25</v>
      </c>
      <c r="D83" t="s">
        <v>37</v>
      </c>
      <c r="E83" s="1">
        <f>([1]production_orders!H22*0.3)*60</f>
        <v>4500</v>
      </c>
      <c r="F83" s="1">
        <f>E83+((E83*-2)/100)</f>
        <v>4410</v>
      </c>
      <c r="G83" s="1">
        <f t="shared" si="3"/>
        <v>-90</v>
      </c>
      <c r="H83" t="s">
        <v>85</v>
      </c>
    </row>
    <row r="84" spans="1:8" x14ac:dyDescent="0.25">
      <c r="A84" t="str">
        <v>ORD-021</v>
      </c>
      <c r="B84" t="s">
        <v>83</v>
      </c>
      <c r="C84" t="s">
        <v>27</v>
      </c>
      <c r="D84" t="s">
        <v>39</v>
      </c>
      <c r="E84" s="1">
        <f>([1]production_orders!H22*0.35)*60</f>
        <v>5250</v>
      </c>
      <c r="F84" s="1">
        <f>E84+((E84*-3)/100)</f>
        <v>5092.5</v>
      </c>
      <c r="G84" s="1">
        <f t="shared" si="3"/>
        <v>-157.5</v>
      </c>
      <c r="H84" t="s">
        <v>85</v>
      </c>
    </row>
    <row r="85" spans="1:8" x14ac:dyDescent="0.25">
      <c r="A85" t="str">
        <v>ORD-021</v>
      </c>
      <c r="B85" t="s">
        <v>84</v>
      </c>
      <c r="C85" t="s">
        <v>28</v>
      </c>
      <c r="D85" t="s">
        <v>39</v>
      </c>
      <c r="E85" s="1">
        <f>([1]production_orders!H22*0.15)*60</f>
        <v>2250</v>
      </c>
      <c r="F85" s="1">
        <f>E85+((E85*-0.4)/100)</f>
        <v>2241</v>
      </c>
      <c r="G85" s="1">
        <f t="shared" si="3"/>
        <v>-9</v>
      </c>
      <c r="H85" t="s">
        <v>85</v>
      </c>
    </row>
    <row r="86" spans="1:8" x14ac:dyDescent="0.25">
      <c r="A86" t="str">
        <v>ORD-022</v>
      </c>
      <c r="B86" t="s">
        <v>81</v>
      </c>
      <c r="C86" t="s">
        <v>24</v>
      </c>
      <c r="D86" t="s">
        <v>40</v>
      </c>
      <c r="E86" s="1">
        <f>([1]production_orders!H23*0.2)*60</f>
        <v>1200</v>
      </c>
      <c r="F86" s="1">
        <f>E86+((E86*-4)/100)</f>
        <v>1152</v>
      </c>
      <c r="G86" s="1">
        <f t="shared" si="3"/>
        <v>-48</v>
      </c>
      <c r="H86" t="s">
        <v>85</v>
      </c>
    </row>
    <row r="87" spans="1:8" x14ac:dyDescent="0.25">
      <c r="A87" t="str">
        <v>ORD-022</v>
      </c>
      <c r="B87" t="s">
        <v>82</v>
      </c>
      <c r="C87" t="s">
        <v>26</v>
      </c>
      <c r="D87" t="s">
        <v>37</v>
      </c>
      <c r="E87" s="1">
        <f>([1]production_orders!H23*0.3)*60</f>
        <v>1800</v>
      </c>
      <c r="F87" s="1">
        <f>E87+((E87*2)/100)</f>
        <v>1836</v>
      </c>
      <c r="G87" s="1">
        <f t="shared" si="3"/>
        <v>36</v>
      </c>
      <c r="H87" t="s">
        <v>85</v>
      </c>
    </row>
    <row r="88" spans="1:8" x14ac:dyDescent="0.25">
      <c r="A88" t="str">
        <v>ORD-022</v>
      </c>
      <c r="B88" t="s">
        <v>83</v>
      </c>
      <c r="C88" t="s">
        <v>27</v>
      </c>
      <c r="D88" t="s">
        <v>39</v>
      </c>
      <c r="E88" s="1">
        <f>([1]production_orders!H23*0.35)*60</f>
        <v>2100</v>
      </c>
      <c r="F88" s="1">
        <f>E88+((E88*-3)/100)</f>
        <v>2037</v>
      </c>
      <c r="G88" s="1">
        <f t="shared" si="3"/>
        <v>-63</v>
      </c>
      <c r="H88" t="s">
        <v>85</v>
      </c>
    </row>
    <row r="89" spans="1:8" x14ac:dyDescent="0.25">
      <c r="A89" t="str">
        <v>ORD-022</v>
      </c>
      <c r="B89" t="s">
        <v>84</v>
      </c>
      <c r="C89" t="s">
        <v>28</v>
      </c>
      <c r="D89" t="s">
        <v>36</v>
      </c>
      <c r="E89" s="1">
        <f>([1]production_orders!H23*0.15)*60</f>
        <v>900</v>
      </c>
      <c r="F89" s="1">
        <f>E89+((E89*1)/100)</f>
        <v>909</v>
      </c>
      <c r="G89" s="1">
        <f t="shared" si="3"/>
        <v>9</v>
      </c>
      <c r="H89" t="s">
        <v>85</v>
      </c>
    </row>
    <row r="90" spans="1:8" x14ac:dyDescent="0.25">
      <c r="A90" t="str">
        <v>ORD-023</v>
      </c>
      <c r="B90" t="s">
        <v>81</v>
      </c>
      <c r="C90" t="s">
        <v>24</v>
      </c>
      <c r="D90" t="s">
        <v>40</v>
      </c>
      <c r="E90" s="1">
        <f>([1]production_orders!H24*0.2)*60</f>
        <v>1800</v>
      </c>
      <c r="F90" s="1">
        <f>E90+((E90*6)/100)</f>
        <v>1908</v>
      </c>
      <c r="G90" s="1">
        <f t="shared" si="3"/>
        <v>108</v>
      </c>
      <c r="H90" t="s">
        <v>86</v>
      </c>
    </row>
    <row r="91" spans="1:8" x14ac:dyDescent="0.25">
      <c r="A91" t="str">
        <v>ORD-023</v>
      </c>
      <c r="B91" t="s">
        <v>82</v>
      </c>
      <c r="C91" t="s">
        <v>26</v>
      </c>
      <c r="D91" t="s">
        <v>41</v>
      </c>
      <c r="E91" s="1">
        <f>([1]production_orders!H24*0.3)*60</f>
        <v>2700</v>
      </c>
      <c r="F91" s="1">
        <f>E91+((E91*13)/100)</f>
        <v>3051</v>
      </c>
      <c r="G91" s="1">
        <f t="shared" si="3"/>
        <v>351</v>
      </c>
      <c r="H91" t="s">
        <v>86</v>
      </c>
    </row>
    <row r="92" spans="1:8" x14ac:dyDescent="0.25">
      <c r="A92" t="str">
        <v>ORD-023</v>
      </c>
      <c r="B92" t="s">
        <v>83</v>
      </c>
      <c r="C92" t="s">
        <v>27</v>
      </c>
      <c r="D92" t="s">
        <v>39</v>
      </c>
      <c r="E92" s="1">
        <f>([1]production_orders!H24*0.35)*60</f>
        <v>3150</v>
      </c>
      <c r="F92" s="1">
        <f>E92+((E92*3)/100)</f>
        <v>3244.5</v>
      </c>
      <c r="G92" s="1">
        <f t="shared" si="3"/>
        <v>94.5</v>
      </c>
      <c r="H92" t="s">
        <v>86</v>
      </c>
    </row>
    <row r="93" spans="1:8" x14ac:dyDescent="0.25">
      <c r="A93" t="str">
        <v>ORD-023</v>
      </c>
      <c r="B93" t="s">
        <v>84</v>
      </c>
      <c r="C93" t="s">
        <v>28</v>
      </c>
      <c r="D93" t="s">
        <v>36</v>
      </c>
      <c r="E93" s="1">
        <f>([1]production_orders!H24*0.15)*60</f>
        <v>1350</v>
      </c>
      <c r="F93" s="1">
        <f>E93+((E93*4)/100)</f>
        <v>1404</v>
      </c>
      <c r="G93" s="1">
        <f t="shared" si="3"/>
        <v>54</v>
      </c>
      <c r="H93" t="s">
        <v>86</v>
      </c>
    </row>
    <row r="94" spans="1:8" x14ac:dyDescent="0.25">
      <c r="A94" t="str">
        <v>ORD-024</v>
      </c>
      <c r="B94" t="s">
        <v>81</v>
      </c>
      <c r="C94" t="s">
        <v>24</v>
      </c>
      <c r="D94" t="s">
        <v>37</v>
      </c>
      <c r="E94" s="1">
        <f>([1]production_orders!H25*0.2)*60</f>
        <v>2880</v>
      </c>
      <c r="F94" s="1">
        <f>E94+((E94*3)/100)</f>
        <v>2966.4</v>
      </c>
      <c r="G94" s="1">
        <f t="shared" si="3"/>
        <v>86.400000000000091</v>
      </c>
      <c r="H94" t="s">
        <v>86</v>
      </c>
    </row>
    <row r="95" spans="1:8" x14ac:dyDescent="0.25">
      <c r="A95" t="str">
        <v>ORD-024</v>
      </c>
      <c r="B95" t="s">
        <v>82</v>
      </c>
      <c r="C95" t="s">
        <v>25</v>
      </c>
      <c r="D95" t="s">
        <v>35</v>
      </c>
      <c r="E95" s="1">
        <f>([1]production_orders!H25*0.3)*60</f>
        <v>4320</v>
      </c>
      <c r="F95" s="1">
        <f>E95+((E95*-1)/100)</f>
        <v>4276.8</v>
      </c>
      <c r="G95" s="1">
        <f t="shared" si="3"/>
        <v>-43.199999999999818</v>
      </c>
      <c r="H95" t="s">
        <v>85</v>
      </c>
    </row>
    <row r="96" spans="1:8" x14ac:dyDescent="0.25">
      <c r="A96" t="str">
        <v>ORD-024</v>
      </c>
      <c r="B96" t="s">
        <v>83</v>
      </c>
      <c r="C96" t="s">
        <v>27</v>
      </c>
      <c r="D96" t="s">
        <v>36</v>
      </c>
      <c r="E96" s="1">
        <f>([1]production_orders!H25*0.35)*60</f>
        <v>5040</v>
      </c>
      <c r="F96" s="1">
        <f>E96+((E96*-1)/100)</f>
        <v>4989.6000000000004</v>
      </c>
      <c r="G96" s="1">
        <f t="shared" si="3"/>
        <v>-50.399999999999636</v>
      </c>
      <c r="H96" t="s">
        <v>85</v>
      </c>
    </row>
    <row r="97" spans="1:8" x14ac:dyDescent="0.25">
      <c r="A97" t="str">
        <v>ORD-024</v>
      </c>
      <c r="B97" t="s">
        <v>84</v>
      </c>
      <c r="C97" t="s">
        <v>28</v>
      </c>
      <c r="D97" t="s">
        <v>36</v>
      </c>
      <c r="E97" s="1">
        <f>([1]production_orders!H25*0.15)*60</f>
        <v>2160</v>
      </c>
      <c r="F97" s="1">
        <f>E97+((E97*-3)/100)</f>
        <v>2095.1999999999998</v>
      </c>
      <c r="G97" s="1">
        <f t="shared" si="3"/>
        <v>-64.800000000000182</v>
      </c>
      <c r="H97" t="s">
        <v>85</v>
      </c>
    </row>
    <row r="98" spans="1:8" x14ac:dyDescent="0.25">
      <c r="A98" t="str">
        <v>ORD-025</v>
      </c>
      <c r="B98" t="s">
        <v>81</v>
      </c>
      <c r="C98" t="s">
        <v>24</v>
      </c>
      <c r="D98" t="s">
        <v>38</v>
      </c>
      <c r="E98" s="1">
        <f>([1]production_orders!H26*0.2)*60</f>
        <v>720</v>
      </c>
      <c r="F98" s="1">
        <f>E98+((E98*4)/100)</f>
        <v>748.8</v>
      </c>
      <c r="G98" s="1">
        <f t="shared" si="3"/>
        <v>28.799999999999955</v>
      </c>
      <c r="H98" t="s">
        <v>85</v>
      </c>
    </row>
    <row r="99" spans="1:8" x14ac:dyDescent="0.25">
      <c r="A99" t="str">
        <v>ORD-025</v>
      </c>
      <c r="B99" t="s">
        <v>82</v>
      </c>
      <c r="C99" t="s">
        <v>26</v>
      </c>
      <c r="D99" t="s">
        <v>42</v>
      </c>
      <c r="E99" s="1">
        <f>([1]production_orders!H26*0.3)*60</f>
        <v>1080</v>
      </c>
      <c r="F99" s="1">
        <f>E99+((E99*11)/100)</f>
        <v>1198.8</v>
      </c>
      <c r="G99" s="1">
        <f t="shared" si="3"/>
        <v>118.79999999999995</v>
      </c>
      <c r="H99" t="s">
        <v>86</v>
      </c>
    </row>
    <row r="100" spans="1:8" x14ac:dyDescent="0.25">
      <c r="A100" t="str">
        <v>ORD-025</v>
      </c>
      <c r="B100" t="s">
        <v>83</v>
      </c>
      <c r="C100" t="s">
        <v>27</v>
      </c>
      <c r="D100" t="s">
        <v>36</v>
      </c>
      <c r="E100" s="1">
        <f>([1]production_orders!H26*0.35)*60</f>
        <v>1260</v>
      </c>
      <c r="F100" s="1">
        <f>E100+((E100*5)/100)</f>
        <v>1323</v>
      </c>
      <c r="G100" s="1">
        <f t="shared" si="3"/>
        <v>63</v>
      </c>
      <c r="H100" t="s">
        <v>86</v>
      </c>
    </row>
    <row r="101" spans="1:8" x14ac:dyDescent="0.25">
      <c r="A101" t="str">
        <v>ORD-025</v>
      </c>
      <c r="B101" t="s">
        <v>84</v>
      </c>
      <c r="C101" t="s">
        <v>28</v>
      </c>
      <c r="D101" t="s">
        <v>37</v>
      </c>
      <c r="E101" s="1">
        <f>([1]production_orders!H26*0.15)*60</f>
        <v>540</v>
      </c>
      <c r="F101" s="1">
        <f>E101+((E101*5)/100)</f>
        <v>567</v>
      </c>
      <c r="G101" s="1">
        <f t="shared" si="3"/>
        <v>27</v>
      </c>
      <c r="H101" t="s">
        <v>85</v>
      </c>
    </row>
    <row r="102" spans="1:8" x14ac:dyDescent="0.25">
      <c r="A102" t="str">
        <v>ORD-026</v>
      </c>
      <c r="B102" t="s">
        <v>81</v>
      </c>
      <c r="C102" t="s">
        <v>24</v>
      </c>
      <c r="D102" t="s">
        <v>39</v>
      </c>
      <c r="E102" s="1">
        <f>([1]production_orders!H27*0.2)*60</f>
        <v>480</v>
      </c>
      <c r="F102" s="1">
        <f>E102+((E102*-2)/100)</f>
        <v>470.4</v>
      </c>
      <c r="G102" s="1">
        <f t="shared" si="3"/>
        <v>-9.6000000000000227</v>
      </c>
      <c r="H102" t="s">
        <v>85</v>
      </c>
    </row>
    <row r="103" spans="1:8" x14ac:dyDescent="0.25">
      <c r="A103" t="str">
        <v>ORD-026</v>
      </c>
      <c r="B103" t="s">
        <v>82</v>
      </c>
      <c r="C103" t="s">
        <v>26</v>
      </c>
      <c r="D103" t="s">
        <v>37</v>
      </c>
      <c r="E103" s="1">
        <f>([1]production_orders!H27*0.3)*60</f>
        <v>720</v>
      </c>
      <c r="F103" s="1">
        <f t="shared" si="4"/>
        <v>734.4</v>
      </c>
      <c r="G103" s="1">
        <f t="shared" si="3"/>
        <v>14.399999999999977</v>
      </c>
      <c r="H103" t="s">
        <v>85</v>
      </c>
    </row>
    <row r="104" spans="1:8" x14ac:dyDescent="0.25">
      <c r="A104" t="str">
        <v>ORD-026</v>
      </c>
      <c r="B104" t="s">
        <v>83</v>
      </c>
      <c r="C104" t="s">
        <v>27</v>
      </c>
      <c r="D104" t="s">
        <v>41</v>
      </c>
      <c r="E104" s="1">
        <f>([1]production_orders!H27*0.35)*60</f>
        <v>840</v>
      </c>
      <c r="F104" s="1">
        <f>E104+((E104*-2)/100)</f>
        <v>823.2</v>
      </c>
      <c r="G104" s="1">
        <f t="shared" si="3"/>
        <v>-16.799999999999955</v>
      </c>
      <c r="H104" t="s">
        <v>85</v>
      </c>
    </row>
    <row r="105" spans="1:8" x14ac:dyDescent="0.25">
      <c r="A105" t="str">
        <v>ORD-026</v>
      </c>
      <c r="B105" t="s">
        <v>84</v>
      </c>
      <c r="C105" t="s">
        <v>28</v>
      </c>
      <c r="D105" t="s">
        <v>38</v>
      </c>
      <c r="E105" s="1">
        <f>([1]production_orders!H27*0.15)*60</f>
        <v>360</v>
      </c>
      <c r="F105" s="1">
        <f>E105+((E105*-3)/100)</f>
        <v>349.2</v>
      </c>
      <c r="G105" s="1">
        <f t="shared" si="3"/>
        <v>-10.800000000000011</v>
      </c>
      <c r="H105" t="s">
        <v>85</v>
      </c>
    </row>
    <row r="106" spans="1:8" x14ac:dyDescent="0.25">
      <c r="A106" t="str">
        <v>ORD-027</v>
      </c>
      <c r="B106" t="s">
        <v>81</v>
      </c>
      <c r="C106" t="s">
        <v>24</v>
      </c>
      <c r="D106" t="s">
        <v>37</v>
      </c>
      <c r="E106" s="1">
        <f>([1]production_orders!H28*0.2)*60</f>
        <v>1800</v>
      </c>
      <c r="F106" s="1">
        <f>E106+((E106*-2)/100)</f>
        <v>1764</v>
      </c>
      <c r="G106" s="1">
        <f t="shared" si="3"/>
        <v>-36</v>
      </c>
      <c r="H106" t="s">
        <v>85</v>
      </c>
    </row>
    <row r="107" spans="1:8" x14ac:dyDescent="0.25">
      <c r="A107" t="str">
        <v>ORD-027</v>
      </c>
      <c r="B107" t="s">
        <v>82</v>
      </c>
      <c r="C107" t="s">
        <v>25</v>
      </c>
      <c r="D107" t="s">
        <v>38</v>
      </c>
      <c r="E107" s="1">
        <f>([1]production_orders!H28*0.3)*60</f>
        <v>2700</v>
      </c>
      <c r="F107" s="1">
        <f>E107+((E107*3)/100)</f>
        <v>2781</v>
      </c>
      <c r="G107" s="1">
        <f t="shared" si="3"/>
        <v>81</v>
      </c>
      <c r="H107" t="s">
        <v>86</v>
      </c>
    </row>
    <row r="108" spans="1:8" x14ac:dyDescent="0.25">
      <c r="A108" t="str">
        <v>ORD-027</v>
      </c>
      <c r="B108" t="s">
        <v>83</v>
      </c>
      <c r="C108" t="s">
        <v>27</v>
      </c>
      <c r="D108" t="s">
        <v>41</v>
      </c>
      <c r="E108" s="1">
        <f>([1]production_orders!H28*0.35)*60</f>
        <v>3150</v>
      </c>
      <c r="F108" s="1">
        <f t="shared" si="4"/>
        <v>3213</v>
      </c>
      <c r="G108" s="1">
        <f t="shared" si="3"/>
        <v>63</v>
      </c>
      <c r="H108" t="s">
        <v>86</v>
      </c>
    </row>
    <row r="109" spans="1:8" x14ac:dyDescent="0.25">
      <c r="A109" t="str">
        <v>ORD-027</v>
      </c>
      <c r="B109" t="s">
        <v>84</v>
      </c>
      <c r="C109" t="s">
        <v>28</v>
      </c>
      <c r="D109" t="s">
        <v>37</v>
      </c>
      <c r="E109" s="1">
        <f>([1]production_orders!H28*0.15)*60</f>
        <v>1350</v>
      </c>
      <c r="F109" s="1">
        <f>E109+((E109*-5)/100)</f>
        <v>1282.5</v>
      </c>
      <c r="G109" s="1">
        <f t="shared" si="3"/>
        <v>-67.5</v>
      </c>
      <c r="H109" t="s">
        <v>85</v>
      </c>
    </row>
    <row r="110" spans="1:8" x14ac:dyDescent="0.25">
      <c r="A110" t="str">
        <v>ORD-028</v>
      </c>
      <c r="B110" t="s">
        <v>81</v>
      </c>
      <c r="C110" t="s">
        <v>24</v>
      </c>
      <c r="D110" t="s">
        <v>41</v>
      </c>
      <c r="E110" s="1">
        <f>([1]production_orders!H29*0.2)*60</f>
        <v>1440</v>
      </c>
      <c r="F110" s="1">
        <f>E110+((E110*4)/100)</f>
        <v>1497.6</v>
      </c>
      <c r="G110" s="1">
        <f t="shared" si="3"/>
        <v>57.599999999999909</v>
      </c>
      <c r="H110" t="s">
        <v>85</v>
      </c>
    </row>
    <row r="111" spans="1:8" x14ac:dyDescent="0.25">
      <c r="A111" t="str">
        <v>ORD-028</v>
      </c>
      <c r="B111" t="s">
        <v>82</v>
      </c>
      <c r="C111" t="s">
        <v>25</v>
      </c>
      <c r="D111" t="s">
        <v>35</v>
      </c>
      <c r="E111" s="1">
        <f>([1]production_orders!H29*0.3)*60</f>
        <v>2160</v>
      </c>
      <c r="F111" s="1">
        <f>E111+((E111*5)/100)</f>
        <v>2268</v>
      </c>
      <c r="G111" s="1">
        <f t="shared" si="3"/>
        <v>108</v>
      </c>
      <c r="H111" t="s">
        <v>86</v>
      </c>
    </row>
    <row r="112" spans="1:8" x14ac:dyDescent="0.25">
      <c r="A112" t="str">
        <v>ORD-028</v>
      </c>
      <c r="B112" t="s">
        <v>83</v>
      </c>
      <c r="C112" t="s">
        <v>27</v>
      </c>
      <c r="D112" t="s">
        <v>35</v>
      </c>
      <c r="E112" s="1">
        <f>([1]production_orders!H29*0.35)*60</f>
        <v>2520</v>
      </c>
      <c r="F112" s="1">
        <f>E112+((E112*2)/100)</f>
        <v>2570.4</v>
      </c>
      <c r="G112" s="1">
        <f t="shared" si="3"/>
        <v>50.400000000000091</v>
      </c>
      <c r="H112" t="s">
        <v>86</v>
      </c>
    </row>
    <row r="113" spans="1:8" x14ac:dyDescent="0.25">
      <c r="A113" t="str">
        <v>ORD-028</v>
      </c>
      <c r="B113" t="s">
        <v>84</v>
      </c>
      <c r="C113" t="s">
        <v>28</v>
      </c>
      <c r="D113" t="s">
        <v>35</v>
      </c>
      <c r="E113" s="1">
        <f>([1]production_orders!H29*0.15)*60</f>
        <v>1080</v>
      </c>
      <c r="F113" s="1">
        <f>E113+((E113*4)/100)</f>
        <v>1123.2</v>
      </c>
      <c r="G113" s="1">
        <f t="shared" si="3"/>
        <v>43.200000000000045</v>
      </c>
      <c r="H113" t="s">
        <v>85</v>
      </c>
    </row>
    <row r="114" spans="1:8" x14ac:dyDescent="0.25">
      <c r="A114" t="str">
        <v>ORD-029</v>
      </c>
      <c r="B114" t="s">
        <v>81</v>
      </c>
      <c r="C114" t="s">
        <v>24</v>
      </c>
      <c r="D114" t="s">
        <v>35</v>
      </c>
      <c r="E114" s="1">
        <f>([1]production_orders!H30*0.2)*60</f>
        <v>3000</v>
      </c>
      <c r="F114" s="1">
        <f>E114+((E114*1)/100)</f>
        <v>3030</v>
      </c>
      <c r="G114" s="1">
        <f t="shared" si="3"/>
        <v>30</v>
      </c>
      <c r="H114" t="s">
        <v>85</v>
      </c>
    </row>
    <row r="115" spans="1:8" x14ac:dyDescent="0.25">
      <c r="A115" t="str">
        <v>ORD-029</v>
      </c>
      <c r="B115" t="s">
        <v>82</v>
      </c>
      <c r="C115" t="s">
        <v>25</v>
      </c>
      <c r="D115" t="s">
        <v>40</v>
      </c>
      <c r="E115" s="1">
        <f>([1]production_orders!H30*0.3)*60</f>
        <v>4500</v>
      </c>
      <c r="F115" s="1">
        <f>E115+((E115*4)/100)</f>
        <v>4680</v>
      </c>
      <c r="G115" s="1">
        <f t="shared" si="3"/>
        <v>180</v>
      </c>
      <c r="H115" t="s">
        <v>86</v>
      </c>
    </row>
    <row r="116" spans="1:8" x14ac:dyDescent="0.25">
      <c r="A116" t="str">
        <v>ORD-029</v>
      </c>
      <c r="B116" t="s">
        <v>83</v>
      </c>
      <c r="C116" t="s">
        <v>27</v>
      </c>
      <c r="D116" t="s">
        <v>41</v>
      </c>
      <c r="E116" s="1">
        <f>([1]production_orders!H30*0.35)*60</f>
        <v>5250</v>
      </c>
      <c r="F116" s="1">
        <f>E116+((E116*2)/100)</f>
        <v>5355</v>
      </c>
      <c r="G116" s="1">
        <f t="shared" si="3"/>
        <v>105</v>
      </c>
      <c r="H116" t="s">
        <v>86</v>
      </c>
    </row>
    <row r="117" spans="1:8" x14ac:dyDescent="0.25">
      <c r="A117" t="str">
        <v>ORD-029</v>
      </c>
      <c r="B117" t="s">
        <v>84</v>
      </c>
      <c r="C117" t="s">
        <v>28</v>
      </c>
      <c r="D117" t="s">
        <v>36</v>
      </c>
      <c r="E117" s="1">
        <f>([1]production_orders!H30*0.15)*60</f>
        <v>2250</v>
      </c>
      <c r="F117" s="1">
        <f>E117+((E117*-3)/100)</f>
        <v>2182.5</v>
      </c>
      <c r="G117" s="1">
        <f t="shared" si="3"/>
        <v>-67.5</v>
      </c>
      <c r="H117" t="s">
        <v>85</v>
      </c>
    </row>
    <row r="118" spans="1:8" x14ac:dyDescent="0.25">
      <c r="A118" t="str">
        <v>ORD-030</v>
      </c>
      <c r="B118" t="s">
        <v>81</v>
      </c>
      <c r="C118" t="s">
        <v>24</v>
      </c>
      <c r="D118" t="s">
        <v>35</v>
      </c>
      <c r="E118" s="1">
        <f>([1]production_orders!H31*0.2)*60</f>
        <v>1800</v>
      </c>
      <c r="F118" s="1">
        <f>E118+((E118*2)/100)</f>
        <v>1836</v>
      </c>
      <c r="G118" s="1">
        <f t="shared" si="3"/>
        <v>36</v>
      </c>
      <c r="H118" t="s">
        <v>85</v>
      </c>
    </row>
    <row r="119" spans="1:8" x14ac:dyDescent="0.25">
      <c r="A119" t="str">
        <v>ORD-030</v>
      </c>
      <c r="B119" t="s">
        <v>82</v>
      </c>
      <c r="C119" t="s">
        <v>25</v>
      </c>
      <c r="D119" t="s">
        <v>38</v>
      </c>
      <c r="E119" s="1">
        <f>([1]production_orders!H31*0.3)*60</f>
        <v>2700</v>
      </c>
      <c r="F119" s="1">
        <f>E119+((E119*8)/100)</f>
        <v>2916</v>
      </c>
      <c r="G119" s="1">
        <f t="shared" si="3"/>
        <v>216</v>
      </c>
      <c r="H119" t="s">
        <v>86</v>
      </c>
    </row>
    <row r="120" spans="1:8" x14ac:dyDescent="0.25">
      <c r="A120" t="str">
        <v>ORD-030</v>
      </c>
      <c r="B120" t="s">
        <v>83</v>
      </c>
      <c r="C120" t="s">
        <v>27</v>
      </c>
      <c r="D120" t="s">
        <v>38</v>
      </c>
      <c r="E120" s="1">
        <f>([1]production_orders!H31*0.35)*60</f>
        <v>3150</v>
      </c>
      <c r="F120" s="1">
        <f>E120+((E120*3)/100)</f>
        <v>3244.5</v>
      </c>
      <c r="G120" s="1">
        <f t="shared" si="3"/>
        <v>94.5</v>
      </c>
      <c r="H120" t="s">
        <v>86</v>
      </c>
    </row>
    <row r="121" spans="1:8" x14ac:dyDescent="0.25">
      <c r="A121" t="str">
        <v>ORD-030</v>
      </c>
      <c r="B121" t="s">
        <v>84</v>
      </c>
      <c r="C121" t="s">
        <v>28</v>
      </c>
      <c r="D121" t="s">
        <v>36</v>
      </c>
      <c r="E121" s="1">
        <f>([1]production_orders!H31*0.15)*60</f>
        <v>1350</v>
      </c>
      <c r="F121" s="1">
        <f>E121+((E121*3)/100)</f>
        <v>1390.5</v>
      </c>
      <c r="G121" s="1">
        <f t="shared" si="3"/>
        <v>40.5</v>
      </c>
      <c r="H121" t="s">
        <v>85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A469-20E6-4538-9E62-1989BA9B0255}">
  <dimension ref="A1:E7"/>
  <sheetViews>
    <sheetView zoomScaleNormal="100" workbookViewId="0">
      <selection activeCell="C38" sqref="C38"/>
    </sheetView>
  </sheetViews>
  <sheetFormatPr baseColWidth="10" defaultRowHeight="15" x14ac:dyDescent="0.25"/>
  <cols>
    <col min="1" max="1" width="11.28515625" bestFit="1" customWidth="1"/>
    <col min="2" max="2" width="15.42578125" bestFit="1" customWidth="1"/>
    <col min="3" max="3" width="14.42578125" bestFit="1" customWidth="1"/>
    <col min="4" max="4" width="15.140625" bestFit="1" customWidth="1"/>
    <col min="5" max="5" width="17.7109375" bestFit="1" customWidth="1"/>
  </cols>
  <sheetData>
    <row r="1" spans="1:5" x14ac:dyDescent="0.25">
      <c r="A1" t="s">
        <v>11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 t="s">
        <v>23</v>
      </c>
      <c r="B2" t="s">
        <v>29</v>
      </c>
      <c r="C2">
        <v>95</v>
      </c>
      <c r="D2">
        <v>2</v>
      </c>
      <c r="E2" t="s">
        <v>33</v>
      </c>
    </row>
    <row r="3" spans="1:5" x14ac:dyDescent="0.25">
      <c r="A3" t="s">
        <v>24</v>
      </c>
      <c r="B3" t="s">
        <v>29</v>
      </c>
      <c r="C3">
        <v>92</v>
      </c>
      <c r="D3">
        <v>3</v>
      </c>
      <c r="E3" t="s">
        <v>33</v>
      </c>
    </row>
    <row r="4" spans="1:5" x14ac:dyDescent="0.25">
      <c r="A4" t="s">
        <v>25</v>
      </c>
      <c r="B4" t="s">
        <v>30</v>
      </c>
      <c r="C4">
        <v>85</v>
      </c>
      <c r="D4">
        <v>8</v>
      </c>
      <c r="E4" t="s">
        <v>34</v>
      </c>
    </row>
    <row r="5" spans="1:5" x14ac:dyDescent="0.25">
      <c r="A5" t="s">
        <v>26</v>
      </c>
      <c r="B5" t="s">
        <v>30</v>
      </c>
      <c r="C5">
        <v>80</v>
      </c>
      <c r="D5">
        <v>10</v>
      </c>
      <c r="E5" t="s">
        <v>34</v>
      </c>
    </row>
    <row r="6" spans="1:5" x14ac:dyDescent="0.25">
      <c r="A6" t="s">
        <v>27</v>
      </c>
      <c r="B6" t="s">
        <v>31</v>
      </c>
      <c r="C6">
        <v>88</v>
      </c>
      <c r="D6">
        <v>6</v>
      </c>
      <c r="E6" t="s">
        <v>33</v>
      </c>
    </row>
    <row r="7" spans="1:5" x14ac:dyDescent="0.25">
      <c r="A7" t="s">
        <v>28</v>
      </c>
      <c r="B7" t="s">
        <v>32</v>
      </c>
      <c r="C7">
        <v>97</v>
      </c>
      <c r="D7">
        <v>1</v>
      </c>
      <c r="E7" t="s">
        <v>33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1A5C-DD41-4A9E-9200-3F7F4010C45F}">
  <dimension ref="A1:C9"/>
  <sheetViews>
    <sheetView workbookViewId="0">
      <selection activeCell="E20" sqref="E20"/>
    </sheetView>
  </sheetViews>
  <sheetFormatPr baseColWidth="10" defaultRowHeight="15" x14ac:dyDescent="0.25"/>
  <cols>
    <col min="2" max="2" width="10.140625" bestFit="1" customWidth="1"/>
    <col min="3" max="3" width="16.85546875" bestFit="1" customWidth="1"/>
  </cols>
  <sheetData>
    <row r="1" spans="1:3" x14ac:dyDescent="0.25">
      <c r="A1" t="s">
        <v>12</v>
      </c>
      <c r="B1" t="s">
        <v>21</v>
      </c>
      <c r="C1" t="s">
        <v>22</v>
      </c>
    </row>
    <row r="2" spans="1:3" x14ac:dyDescent="0.25">
      <c r="A2" t="s">
        <v>35</v>
      </c>
      <c r="B2" t="s">
        <v>43</v>
      </c>
      <c r="C2">
        <v>5</v>
      </c>
    </row>
    <row r="3" spans="1:3" x14ac:dyDescent="0.25">
      <c r="A3" t="s">
        <v>36</v>
      </c>
      <c r="B3" t="s">
        <v>43</v>
      </c>
      <c r="C3">
        <v>3</v>
      </c>
    </row>
    <row r="4" spans="1:3" x14ac:dyDescent="0.25">
      <c r="A4" t="s">
        <v>37</v>
      </c>
      <c r="B4" t="s">
        <v>44</v>
      </c>
      <c r="C4">
        <v>7</v>
      </c>
    </row>
    <row r="5" spans="1:3" x14ac:dyDescent="0.25">
      <c r="A5" t="s">
        <v>38</v>
      </c>
      <c r="B5" t="s">
        <v>44</v>
      </c>
      <c r="C5">
        <v>2</v>
      </c>
    </row>
    <row r="6" spans="1:3" x14ac:dyDescent="0.25">
      <c r="A6" t="s">
        <v>39</v>
      </c>
      <c r="B6" t="s">
        <v>45</v>
      </c>
      <c r="C6">
        <v>10</v>
      </c>
    </row>
    <row r="7" spans="1:3" x14ac:dyDescent="0.25">
      <c r="A7" t="s">
        <v>40</v>
      </c>
      <c r="B7" t="s">
        <v>45</v>
      </c>
      <c r="C7">
        <v>4</v>
      </c>
    </row>
    <row r="8" spans="1:3" x14ac:dyDescent="0.25">
      <c r="A8" t="s">
        <v>41</v>
      </c>
      <c r="B8" t="s">
        <v>43</v>
      </c>
      <c r="C8">
        <v>6</v>
      </c>
    </row>
    <row r="9" spans="1:3" x14ac:dyDescent="0.25">
      <c r="A9" t="s">
        <v>42</v>
      </c>
      <c r="B9" t="s">
        <v>44</v>
      </c>
      <c r="C9"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8A5CF6-AA6C-496D-B81F-05E712FDB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production_orders</vt:lpstr>
      <vt:lpstr>production_stages</vt:lpstr>
      <vt:lpstr>machines</vt:lpstr>
      <vt:lpstr>operators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Gutierrez</dc:creator>
  <cp:lastModifiedBy>ESTEBAN GUTIERREZ CHICA</cp:lastModifiedBy>
  <dcterms:created xsi:type="dcterms:W3CDTF">2015-06-05T18:17:20Z</dcterms:created>
  <dcterms:modified xsi:type="dcterms:W3CDTF">2026-02-08T04:28:59Z</dcterms:modified>
</cp:coreProperties>
</file>